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PLEJO" sheetId="1" state="visible" r:id="rId2"/>
    <sheet name="COMPLEJO 2" sheetId="2" state="visible" r:id="rId3"/>
    <sheet name="COMPLEJO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<sst xmlns="http://schemas.openxmlformats.org/spreadsheetml/2006/main" count="372" uniqueCount="100">
  <si>
    <t xml:space="preserve">LIQUIDACIÓN DEL MINERAL Pb - Ag - Zn - BROZA</t>
  </si>
  <si>
    <t xml:space="preserve">INFORMACIÓN DE LA TRANSACCIÓN</t>
  </si>
  <si>
    <t xml:space="preserve">DATOS DEL CLIENTE</t>
  </si>
  <si>
    <t xml:space="preserve">NOMBRE DEL CLIENTE:</t>
  </si>
  <si>
    <t xml:space="preserve">COOPERATIVA:</t>
  </si>
  <si>
    <t xml:space="preserve">NIM:</t>
  </si>
  <si>
    <t xml:space="preserve">DATOS PARA LA TRANSACCIÓN</t>
  </si>
  <si>
    <t xml:space="preserve">LOTE:</t>
  </si>
  <si>
    <t xml:space="preserve">FECHA:</t>
  </si>
  <si>
    <t xml:space="preserve">TIPO DE CAMBIO:</t>
  </si>
  <si>
    <t xml:space="preserve">CARACTERISTICAS DEL MINERAL</t>
  </si>
  <si>
    <t xml:space="preserve">PESO BRUTO HUMEDO (Kg)</t>
  </si>
  <si>
    <t xml:space="preserve">TARA  (Kg)</t>
  </si>
  <si>
    <t xml:space="preserve">HUMEDAD (%)</t>
  </si>
  <si>
    <t xml:space="preserve">MERMA (%)</t>
  </si>
  <si>
    <t xml:space="preserve">PESO NETO SECO (Kg)</t>
  </si>
  <si>
    <t xml:space="preserve">MINERAL</t>
  </si>
  <si>
    <t xml:space="preserve">LEY</t>
  </si>
  <si>
    <t xml:space="preserve">UNIDADES</t>
  </si>
  <si>
    <t xml:space="preserve">PESO FINO (Kg)</t>
  </si>
  <si>
    <t xml:space="preserve">ZINC</t>
  </si>
  <si>
    <t xml:space="preserve">%</t>
  </si>
  <si>
    <t xml:space="preserve">PLOMO</t>
  </si>
  <si>
    <t xml:space="preserve">PLATA</t>
  </si>
  <si>
    <t xml:space="preserve">DM</t>
  </si>
  <si>
    <t xml:space="preserve">TOTAL</t>
  </si>
  <si>
    <t xml:space="preserve">CALCULO DE LA REGALIA MINERA</t>
  </si>
  <si>
    <t xml:space="preserve">Cot. Quincenal</t>
  </si>
  <si>
    <t xml:space="preserve">Unidades</t>
  </si>
  <si>
    <t xml:space="preserve">VBV ($us)</t>
  </si>
  <si>
    <t xml:space="preserve">VBV (Bs)</t>
  </si>
  <si>
    <t xml:space="preserve">Alícuota (%)</t>
  </si>
  <si>
    <t xml:space="preserve">RM ($us)</t>
  </si>
  <si>
    <t xml:space="preserve">RM (Bs)</t>
  </si>
  <si>
    <r>
      <rPr>
        <sz val="9"/>
        <rFont val="Arial Narrow"/>
        <family val="2"/>
        <charset val="1"/>
      </rPr>
      <t xml:space="preserve">[$us/L.F.</t>
    </r>
    <r>
      <rPr>
        <sz val="9"/>
        <rFont val="Calibri"/>
        <family val="2"/>
        <charset val="1"/>
      </rPr>
      <t xml:space="preserve">]</t>
    </r>
  </si>
  <si>
    <r>
      <rPr>
        <sz val="9"/>
        <rFont val="Arial Narrow"/>
        <family val="2"/>
        <charset val="1"/>
      </rPr>
      <t xml:space="preserve">[$us/L.F..</t>
    </r>
    <r>
      <rPr>
        <sz val="9"/>
        <rFont val="Calibri"/>
        <family val="2"/>
        <charset val="1"/>
      </rPr>
      <t xml:space="preserve">]</t>
    </r>
  </si>
  <si>
    <r>
      <rPr>
        <sz val="9"/>
        <rFont val="Arial Narrow"/>
        <family val="2"/>
        <charset val="1"/>
      </rPr>
      <t xml:space="preserve">[$us/O.T.</t>
    </r>
    <r>
      <rPr>
        <sz val="9"/>
        <rFont val="Calibri"/>
        <family val="2"/>
        <charset val="1"/>
      </rPr>
      <t xml:space="preserve">]</t>
    </r>
  </si>
  <si>
    <t xml:space="preserve">CALCULO DEL VALOR DEL MINERAL</t>
  </si>
  <si>
    <t xml:space="preserve">Cotización Diaria:</t>
  </si>
  <si>
    <t xml:space="preserve">Cot. Diaria.</t>
  </si>
  <si>
    <t xml:space="preserve">V-V ($us)</t>
  </si>
  <si>
    <t xml:space="preserve">Valor para la Venta al 100% =</t>
  </si>
  <si>
    <t xml:space="preserve"> [$us]</t>
  </si>
  <si>
    <t xml:space="preserve">[Bs]</t>
  </si>
  <si>
    <t xml:space="preserve">VALOR NETO DE VENTA</t>
  </si>
  <si>
    <t xml:space="preserve">Valor Por Tonelada (VPT) =</t>
  </si>
  <si>
    <r>
      <rPr>
        <b val="true"/>
        <sz val="11"/>
        <color rgb="FF0070C0"/>
        <rFont val="Arial Narrow"/>
        <family val="2"/>
        <charset val="1"/>
      </rPr>
      <t xml:space="preserve">[$us/TM</t>
    </r>
    <r>
      <rPr>
        <b val="true"/>
        <sz val="11"/>
        <color rgb="FF0070C0"/>
        <rFont val="Calibri"/>
        <family val="2"/>
        <charset val="1"/>
      </rPr>
      <t xml:space="preserve">]</t>
    </r>
  </si>
  <si>
    <t xml:space="preserve">(Manual o calculado mediante tablas de precios o términos de contrato)</t>
  </si>
  <si>
    <t xml:space="preserve">Valor Neto de Venta (VNV) =</t>
  </si>
  <si>
    <t xml:space="preserve">[$us]</t>
  </si>
  <si>
    <t xml:space="preserve">DEDUCCIONES </t>
  </si>
  <si>
    <t xml:space="preserve">Regalia Minera</t>
  </si>
  <si>
    <t xml:space="preserve">DE LEY</t>
  </si>
  <si>
    <t xml:space="preserve"> [Bs]</t>
  </si>
  <si>
    <t xml:space="preserve">CNS</t>
  </si>
  <si>
    <t xml:space="preserve">COMIBOL</t>
  </si>
  <si>
    <t xml:space="preserve">FENCOMIN</t>
  </si>
  <si>
    <t xml:space="preserve">OTRA</t>
  </si>
  <si>
    <t xml:space="preserve">FEDECOMIN ORURO</t>
  </si>
  <si>
    <t xml:space="preserve">VALOR PAGABLE DEL MINERAL</t>
  </si>
  <si>
    <t xml:space="preserve">BONOS</t>
  </si>
  <si>
    <t xml:space="preserve">Bono Calidad</t>
  </si>
  <si>
    <t xml:space="preserve">Bono Transporte</t>
  </si>
  <si>
    <t xml:space="preserve">Bono Lealtad</t>
  </si>
  <si>
    <t xml:space="preserve">ANTICIPOS Y OTROS SALDOS</t>
  </si>
  <si>
    <t xml:space="preserve">Anticipo contra entrega</t>
  </si>
  <si>
    <t xml:space="preserve">Anticipo contra futura entrega</t>
  </si>
  <si>
    <t xml:space="preserve">Saldo anterior</t>
  </si>
  <si>
    <t xml:space="preserve">LIQUIDO PAGABLE</t>
  </si>
  <si>
    <t xml:space="preserve">Precio Calculado</t>
  </si>
  <si>
    <t xml:space="preserve">COSTO</t>
  </si>
  <si>
    <t xml:space="preserve">DATOS DEL COMPRADOR</t>
  </si>
  <si>
    <t xml:space="preserve">RAZON SOCIAL:</t>
  </si>
  <si>
    <t xml:space="preserve">NIT:</t>
  </si>
  <si>
    <t xml:space="preserve">DATOS DEL VENDEDOR</t>
  </si>
  <si>
    <t xml:space="preserve">g/TM</t>
  </si>
  <si>
    <t xml:space="preserve">Cot. Quin.</t>
  </si>
  <si>
    <t xml:space="preserve">Valor para la Venta =</t>
  </si>
  <si>
    <t xml:space="preserve">Precio</t>
  </si>
  <si>
    <r>
      <rPr>
        <sz val="11"/>
        <rFont val="Arial Narrow"/>
        <family val="2"/>
        <charset val="1"/>
      </rPr>
      <t xml:space="preserve">[$us/TM</t>
    </r>
    <r>
      <rPr>
        <sz val="11"/>
        <rFont val="Calibri"/>
        <family val="2"/>
        <charset val="1"/>
      </rPr>
      <t xml:space="preserve">]</t>
    </r>
  </si>
  <si>
    <t xml:space="preserve">Valor para la Venta  =</t>
  </si>
  <si>
    <t xml:space="preserve">COSTO DE TRATAMINETO Y COMERCIALIZACIÓN</t>
  </si>
  <si>
    <t xml:space="preserve">Costo de Tratamineto =</t>
  </si>
  <si>
    <t xml:space="preserve"> [$us/TMS]</t>
  </si>
  <si>
    <t xml:space="preserve">Laboratorio =</t>
  </si>
  <si>
    <t xml:space="preserve">Transporte =</t>
  </si>
  <si>
    <t xml:space="preserve">Costo de Comercializacion =</t>
  </si>
  <si>
    <t xml:space="preserve">Valor Neto de Venta =</t>
  </si>
  <si>
    <t xml:space="preserve">Seguro Social de Salud</t>
  </si>
  <si>
    <t xml:space="preserve">Coop. Min. X</t>
  </si>
  <si>
    <t xml:space="preserve">OTROS DESCUENTOS</t>
  </si>
  <si>
    <t xml:space="preserve">OTRO</t>
  </si>
  <si>
    <t xml:space="preserve">SACOS:</t>
  </si>
  <si>
    <t xml:space="preserve">ADMINISTRACION</t>
  </si>
  <si>
    <t xml:space="preserve">BOMBEO</t>
  </si>
  <si>
    <t xml:space="preserve">CARNAVAL</t>
  </si>
  <si>
    <t xml:space="preserve">Bs</t>
  </si>
  <si>
    <t xml:space="preserve">FIJO</t>
  </si>
  <si>
    <t xml:space="preserve">PRO DEPORTE</t>
  </si>
  <si>
    <t xml:space="preserve">SACO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</si>
</sst>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_-* #,##0.00_-;\-* #,##0.00_-;_-* \-??_-;_-@_-"/>
    <numFmt numFmtId="167" formatCode="#,##0.0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1"/>
      <color rgb="FFC00000"/>
      <name val="Arial Narrow"/>
      <family val="2"/>
      <charset val="1"/>
    </font>
    <font>
      <sz val="9"/>
      <color rgb="FF000000"/>
      <name val="Arial Narrow"/>
      <family val="2"/>
      <charset val="1"/>
    </font>
    <font>
      <b val="true"/>
      <sz val="9"/>
      <color rgb="FF00000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b val="true"/>
      <sz val="8"/>
      <color rgb="FFFF0000"/>
      <name val="Arial Narrow"/>
      <family val="2"/>
      <charset val="1"/>
    </font>
    <font>
      <b val="true"/>
      <sz val="8"/>
      <name val="Arial Narrow"/>
      <family val="2"/>
      <charset val="1"/>
    </font>
    <font>
      <sz val="8"/>
      <name val="Arial Narrow"/>
      <family val="2"/>
      <charset val="1"/>
    </font>
    <font>
      <sz val="11"/>
      <name val="Arial Narrow"/>
      <family val="2"/>
      <charset val="1"/>
    </font>
    <font>
      <sz val="9"/>
      <name val="Arial Narrow"/>
      <family val="2"/>
      <charset val="1"/>
    </font>
    <font>
      <sz val="9"/>
      <name val="Calibri"/>
      <family val="2"/>
      <charset val="1"/>
    </font>
    <font>
      <b val="true"/>
      <sz val="11"/>
      <color rgb="FF0070C0"/>
      <name val="Arial Narrow"/>
      <family val="2"/>
      <charset val="1"/>
    </font>
    <font>
      <b val="true"/>
      <sz val="11"/>
      <color rgb="FF1E90FF"/>
      <name val="Arial Narrow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name val="Arial Narrow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BE5D6"/>
        <bgColor rgb="FFDAE3F3"/>
      </patternFill>
    </fill>
    <fill>
      <patternFill patternType="solid">
        <fgColor rgb="FFDAE3F3"/>
        <bgColor rgb="FFFBE5D6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3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14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3" fillId="0" borderId="14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3" fillId="0" borderId="14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3" fillId="0" borderId="15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4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2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3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L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1" activeCellId="0" sqref="D11"/>
    </sheetView>
  </sheetViews>
  <sheetFormatPr defaultRowHeight="13.8" zeroHeight="false" outlineLevelRow="0" outlineLevelCol="0"/>
  <cols>
    <col collapsed="false" customWidth="true" hidden="false" outlineLevel="0" max="1" min="1" style="1" width="1.89"/>
    <col collapsed="false" customWidth="true" hidden="false" outlineLevel="0" max="1025" min="2" style="1" width="11.57"/>
  </cols>
  <sheetData>
    <row r="1" customFormat="false" ht="8.4" hidden="false" customHeight="true" outlineLevel="0" collapsed="false">
      <c r="B1" s="2"/>
      <c r="C1" s="3"/>
      <c r="D1" s="3"/>
      <c r="E1" s="3"/>
      <c r="F1" s="3"/>
      <c r="G1" s="3"/>
      <c r="H1" s="3"/>
      <c r="I1" s="3"/>
      <c r="J1" s="4"/>
    </row>
    <row r="2" customFormat="false" ht="13.8" hidden="false" customHeight="false" outlineLevel="0" collapsed="false">
      <c r="B2" s="5" t="s">
        <v>0</v>
      </c>
      <c r="C2" s="5"/>
      <c r="D2" s="5"/>
      <c r="E2" s="5"/>
      <c r="F2" s="5"/>
      <c r="G2" s="5"/>
      <c r="H2" s="5"/>
      <c r="I2" s="5"/>
      <c r="J2" s="5"/>
    </row>
    <row r="3" customFormat="false" ht="13.8" hidden="false" customHeight="false" outlineLevel="0" collapsed="false">
      <c r="B3" s="6" t="s">
        <v>1</v>
      </c>
      <c r="C3" s="6"/>
      <c r="D3" s="6"/>
      <c r="E3" s="6"/>
      <c r="F3" s="6"/>
      <c r="G3" s="6"/>
      <c r="H3" s="6"/>
      <c r="I3" s="6"/>
      <c r="J3" s="6"/>
    </row>
    <row r="4" customFormat="false" ht="13.2" hidden="false" customHeight="true" outlineLevel="0" collapsed="false">
      <c r="B4" s="7" t="s">
        <v>2</v>
      </c>
      <c r="C4" s="7"/>
      <c r="D4" s="8"/>
      <c r="E4" s="8"/>
      <c r="F4" s="8"/>
      <c r="G4" s="8"/>
      <c r="H4" s="8"/>
      <c r="I4" s="8"/>
      <c r="J4" s="9"/>
    </row>
    <row r="5" s="10" customFormat="true" ht="13.2" hidden="false" customHeight="true" outlineLevel="0" collapsed="false">
      <c r="B5" s="11" t="s">
        <v>3</v>
      </c>
      <c r="C5" s="11"/>
      <c r="D5" s="12"/>
      <c r="E5" s="12"/>
      <c r="F5" s="12"/>
      <c r="G5" s="12"/>
      <c r="H5" s="12"/>
      <c r="I5" s="12"/>
      <c r="J5" s="12"/>
    </row>
    <row r="6" s="10" customFormat="true" ht="13.2" hidden="false" customHeight="true" outlineLevel="0" collapsed="false">
      <c r="B6" s="11" t="s">
        <v>4</v>
      </c>
      <c r="C6" s="11"/>
      <c r="D6" s="12"/>
      <c r="E6" s="12"/>
      <c r="F6" s="12"/>
      <c r="G6" s="12"/>
      <c r="H6" s="12"/>
      <c r="I6" s="12"/>
      <c r="J6" s="12"/>
    </row>
    <row r="7" s="10" customFormat="true" ht="13.2" hidden="false" customHeight="true" outlineLevel="0" collapsed="false">
      <c r="B7" s="13" t="s">
        <v>5</v>
      </c>
      <c r="C7" s="13"/>
      <c r="D7" s="14"/>
      <c r="E7" s="14"/>
      <c r="F7" s="14"/>
      <c r="G7" s="14"/>
      <c r="H7" s="14"/>
      <c r="I7" s="14"/>
      <c r="J7" s="14"/>
    </row>
    <row r="8" customFormat="false" ht="13.2" hidden="false" customHeight="true" outlineLevel="0" collapsed="false">
      <c r="B8" s="7" t="s">
        <v>6</v>
      </c>
      <c r="C8" s="7"/>
      <c r="D8" s="7"/>
      <c r="E8" s="7"/>
      <c r="F8" s="8"/>
      <c r="G8" s="8"/>
      <c r="H8" s="8"/>
      <c r="I8" s="8"/>
      <c r="J8" s="9"/>
    </row>
    <row r="9" s="10" customFormat="true" ht="13.2" hidden="false" customHeight="true" outlineLevel="0" collapsed="false">
      <c r="B9" s="15" t="s">
        <v>7</v>
      </c>
      <c r="C9" s="15"/>
      <c r="D9" s="12"/>
      <c r="E9" s="12"/>
      <c r="F9" s="12"/>
      <c r="G9" s="12"/>
      <c r="H9" s="12"/>
      <c r="I9" s="12"/>
      <c r="J9" s="12"/>
    </row>
    <row r="10" s="10" customFormat="true" ht="13.2" hidden="false" customHeight="true" outlineLevel="0" collapsed="false">
      <c r="B10" s="15" t="s">
        <v>8</v>
      </c>
      <c r="C10" s="15"/>
      <c r="D10" s="16" t="n">
        <v>45881</v>
      </c>
      <c r="E10" s="17"/>
      <c r="F10" s="17"/>
      <c r="G10" s="17"/>
      <c r="H10" s="17"/>
      <c r="I10" s="17"/>
      <c r="J10" s="12"/>
    </row>
    <row r="11" s="10" customFormat="true" ht="13.2" hidden="false" customHeight="true" outlineLevel="0" collapsed="false">
      <c r="B11" s="15" t="s">
        <v>9</v>
      </c>
      <c r="C11" s="15"/>
      <c r="D11" s="10" t="n">
        <v>6.96</v>
      </c>
      <c r="J11" s="18"/>
    </row>
    <row r="12" s="10" customFormat="true" ht="7.2" hidden="false" customHeight="true" outlineLevel="0" collapsed="false">
      <c r="B12" s="13"/>
      <c r="C12" s="13"/>
      <c r="D12" s="14"/>
      <c r="E12" s="14"/>
      <c r="F12" s="14"/>
      <c r="G12" s="14"/>
      <c r="H12" s="14"/>
      <c r="I12" s="14"/>
      <c r="J12" s="14"/>
    </row>
    <row r="13" customFormat="false" ht="13.8" hidden="false" customHeight="false" outlineLevel="0" collapsed="false">
      <c r="B13" s="19" t="s">
        <v>10</v>
      </c>
      <c r="C13" s="20"/>
      <c r="D13" s="8"/>
      <c r="E13" s="8"/>
      <c r="F13" s="8"/>
      <c r="G13" s="8"/>
      <c r="H13" s="8"/>
      <c r="I13" s="8"/>
      <c r="J13" s="9"/>
    </row>
    <row r="14" s="21" customFormat="true" ht="21.6" hidden="false" customHeight="true" outlineLevel="0" collapsed="false">
      <c r="B14" s="22" t="s">
        <v>11</v>
      </c>
      <c r="C14" s="23" t="s">
        <v>12</v>
      </c>
      <c r="D14" s="23" t="s">
        <v>13</v>
      </c>
      <c r="E14" s="23" t="s">
        <v>14</v>
      </c>
      <c r="F14" s="23" t="s">
        <v>15</v>
      </c>
      <c r="G14" s="23" t="s">
        <v>16</v>
      </c>
      <c r="H14" s="23" t="s">
        <v>17</v>
      </c>
      <c r="I14" s="23" t="s">
        <v>18</v>
      </c>
      <c r="J14" s="24" t="s">
        <v>19</v>
      </c>
    </row>
    <row r="15" customFormat="false" ht="12.6" hidden="false" customHeight="true" outlineLevel="0" collapsed="false">
      <c r="B15" s="25" t="n">
        <v>6340</v>
      </c>
      <c r="C15" s="26" t="n">
        <v>0</v>
      </c>
      <c r="D15" s="26" t="n">
        <v>10</v>
      </c>
      <c r="E15" s="26" t="n">
        <v>1</v>
      </c>
      <c r="F15" s="27" t="n">
        <f aca="false">(B15-C15)*(1-D15/100)*(1-E15/100)</f>
        <v>5648.94</v>
      </c>
      <c r="G15" s="28" t="s">
        <v>20</v>
      </c>
      <c r="H15" s="29" t="n">
        <v>11</v>
      </c>
      <c r="I15" s="30" t="s">
        <v>21</v>
      </c>
      <c r="J15" s="31" t="n">
        <f aca="false">F15*H15/100</f>
        <v>621.3834</v>
      </c>
    </row>
    <row r="16" customFormat="false" ht="12.6" hidden="false" customHeight="true" outlineLevel="0" collapsed="false">
      <c r="B16" s="32"/>
      <c r="C16" s="33"/>
      <c r="D16" s="33"/>
      <c r="E16" s="33"/>
      <c r="F16" s="33"/>
      <c r="G16" s="28" t="s">
        <v>22</v>
      </c>
      <c r="H16" s="29" t="n">
        <v>20</v>
      </c>
      <c r="I16" s="30" t="s">
        <v>21</v>
      </c>
      <c r="J16" s="31" t="n">
        <f aca="false">F15*H16/100</f>
        <v>1129.788</v>
      </c>
    </row>
    <row r="17" customFormat="false" ht="12" hidden="false" customHeight="true" outlineLevel="0" collapsed="false">
      <c r="B17" s="32"/>
      <c r="G17" s="34" t="s">
        <v>23</v>
      </c>
      <c r="H17" s="35" t="n">
        <v>35</v>
      </c>
      <c r="I17" s="36" t="s">
        <v>24</v>
      </c>
      <c r="J17" s="37" t="n">
        <f aca="false">F15/1000*H17*100/1000</f>
        <v>19.77129</v>
      </c>
    </row>
    <row r="18" customFormat="false" ht="13.8" hidden="false" customHeight="false" outlineLevel="0" collapsed="false">
      <c r="B18" s="38"/>
      <c r="G18" s="39" t="s">
        <v>25</v>
      </c>
      <c r="H18" s="39"/>
      <c r="I18" s="39"/>
      <c r="J18" s="40" t="n">
        <f aca="false">SUM(J15:J17)</f>
        <v>1770.94269</v>
      </c>
    </row>
    <row r="19" customFormat="false" ht="5.4" hidden="false" customHeight="true" outlineLevel="0" collapsed="false">
      <c r="B19" s="41"/>
      <c r="C19" s="42"/>
      <c r="D19" s="42"/>
      <c r="E19" s="42"/>
      <c r="F19" s="42"/>
      <c r="G19" s="42"/>
      <c r="H19" s="42"/>
      <c r="I19" s="42"/>
      <c r="J19" s="43"/>
    </row>
    <row r="20" customFormat="false" ht="13.8" hidden="false" customHeight="false" outlineLevel="0" collapsed="false">
      <c r="B20" s="19" t="s">
        <v>26</v>
      </c>
      <c r="C20" s="20"/>
      <c r="D20" s="8"/>
      <c r="E20" s="8"/>
      <c r="F20" s="8"/>
      <c r="G20" s="8"/>
      <c r="H20" s="8"/>
      <c r="I20" s="8"/>
      <c r="J20" s="9"/>
    </row>
    <row r="21" customFormat="false" ht="8.4" hidden="false" customHeight="true" outlineLevel="0" collapsed="false">
      <c r="B21" s="38"/>
      <c r="H21" s="33"/>
      <c r="I21" s="33"/>
      <c r="J21" s="44"/>
    </row>
    <row r="22" customFormat="false" ht="13.8" hidden="false" customHeight="false" outlineLevel="0" collapsed="false">
      <c r="B22" s="38"/>
      <c r="C22" s="45" t="s">
        <v>16</v>
      </c>
      <c r="D22" s="23" t="s">
        <v>27</v>
      </c>
      <c r="E22" s="23" t="s">
        <v>28</v>
      </c>
      <c r="F22" s="23" t="s">
        <v>29</v>
      </c>
      <c r="G22" s="23" t="s">
        <v>30</v>
      </c>
      <c r="H22" s="23" t="s">
        <v>31</v>
      </c>
      <c r="I22" s="23" t="s">
        <v>32</v>
      </c>
      <c r="J22" s="23" t="s">
        <v>33</v>
      </c>
    </row>
    <row r="23" customFormat="false" ht="13.8" hidden="false" customHeight="false" outlineLevel="0" collapsed="false">
      <c r="B23" s="38"/>
      <c r="C23" s="28" t="s">
        <v>20</v>
      </c>
      <c r="D23" s="46" t="n">
        <v>1.6</v>
      </c>
      <c r="E23" s="47" t="s">
        <v>34</v>
      </c>
      <c r="F23" s="48" t="n">
        <f aca="false">J15/1000*2204.6223*D23</f>
        <v>2191.86512078371</v>
      </c>
      <c r="G23" s="49" t="n">
        <f aca="false">F23*D$11</f>
        <v>15255.3812406546</v>
      </c>
      <c r="H23" s="46" t="n">
        <v>3</v>
      </c>
      <c r="I23" s="48" t="n">
        <f aca="false">F23*H23/100</f>
        <v>65.7559536235114</v>
      </c>
      <c r="J23" s="48" t="n">
        <f aca="false">I23*D$11</f>
        <v>457.661437219639</v>
      </c>
      <c r="K23" s="50" t="n">
        <f aca="false">G23*H23/100</f>
        <v>457.661437219639</v>
      </c>
    </row>
    <row r="24" customFormat="false" ht="13.8" hidden="false" customHeight="false" outlineLevel="0" collapsed="false">
      <c r="B24" s="38"/>
      <c r="C24" s="28" t="s">
        <v>22</v>
      </c>
      <c r="D24" s="46" t="n">
        <v>0.9</v>
      </c>
      <c r="E24" s="47" t="s">
        <v>35</v>
      </c>
      <c r="F24" s="48" t="n">
        <f aca="false">J16/1000*2204.6223*D24</f>
        <v>2241.68023716516</v>
      </c>
      <c r="G24" s="49" t="n">
        <f aca="false">F24*D$11</f>
        <v>15602.0944506695</v>
      </c>
      <c r="H24" s="46" t="n">
        <v>3</v>
      </c>
      <c r="I24" s="48" t="n">
        <f aca="false">F24*H24/100</f>
        <v>67.2504071149548</v>
      </c>
      <c r="J24" s="48" t="n">
        <f aca="false">I24*D$11</f>
        <v>468.062833520085</v>
      </c>
      <c r="K24" s="50" t="n">
        <f aca="false">G24*H24/100</f>
        <v>468.062833520085</v>
      </c>
    </row>
    <row r="25" customFormat="false" ht="13.8" hidden="false" customHeight="false" outlineLevel="0" collapsed="false">
      <c r="B25" s="38"/>
      <c r="C25" s="34" t="s">
        <v>23</v>
      </c>
      <c r="D25" s="46" t="n">
        <v>75.27</v>
      </c>
      <c r="E25" s="47" t="s">
        <v>36</v>
      </c>
      <c r="F25" s="48" t="n">
        <f aca="false">J17*1000/31.1035*D25</f>
        <v>47846.2230392078</v>
      </c>
      <c r="G25" s="49" t="n">
        <f aca="false">F25*D$11</f>
        <v>333009.712352886</v>
      </c>
      <c r="H25" s="46" t="n">
        <v>3.6</v>
      </c>
      <c r="I25" s="48" t="n">
        <f aca="false">F25*H25/100</f>
        <v>1722.46402941148</v>
      </c>
      <c r="J25" s="48" t="n">
        <f aca="false">I25*D$11</f>
        <v>11988.3496447039</v>
      </c>
      <c r="K25" s="50" t="n">
        <f aca="false">G25*H25/100</f>
        <v>11988.3496447039</v>
      </c>
    </row>
    <row r="26" customFormat="false" ht="13.8" hidden="false" customHeight="true" outlineLevel="0" collapsed="false">
      <c r="B26" s="38"/>
      <c r="F26" s="51" t="s">
        <v>25</v>
      </c>
      <c r="G26" s="49" t="n">
        <f aca="false">SUM(G23:G25)</f>
        <v>363867.18804421</v>
      </c>
      <c r="H26" s="51"/>
      <c r="I26" s="52" t="n">
        <f aca="false">SUM(I23:I25)</f>
        <v>1855.47039014995</v>
      </c>
      <c r="J26" s="52" t="n">
        <f aca="false">SUM(J23:J25)</f>
        <v>12914.0739154436</v>
      </c>
      <c r="K26" s="50" t="n">
        <f aca="false">SUM(K23:K25)</f>
        <v>12914.0739154436</v>
      </c>
    </row>
    <row r="27" customFormat="false" ht="5.4" hidden="false" customHeight="true" outlineLevel="0" collapsed="false">
      <c r="B27" s="41"/>
      <c r="C27" s="42"/>
      <c r="D27" s="42"/>
      <c r="E27" s="42"/>
      <c r="F27" s="42"/>
      <c r="G27" s="42"/>
      <c r="H27" s="42"/>
      <c r="I27" s="42"/>
      <c r="J27" s="43"/>
    </row>
    <row r="28" customFormat="false" ht="13.8" hidden="false" customHeight="false" outlineLevel="0" collapsed="false">
      <c r="B28" s="19" t="s">
        <v>37</v>
      </c>
      <c r="C28" s="20"/>
      <c r="D28" s="8"/>
      <c r="E28" s="53"/>
      <c r="F28" s="54"/>
      <c r="G28" s="8"/>
      <c r="H28" s="8"/>
      <c r="I28" s="8"/>
      <c r="J28" s="9"/>
    </row>
    <row r="29" customFormat="false" ht="13.8" hidden="false" customHeight="false" outlineLevel="0" collapsed="false">
      <c r="B29" s="32" t="s">
        <v>38</v>
      </c>
      <c r="C29" s="32"/>
      <c r="D29" s="55"/>
      <c r="E29" s="56"/>
      <c r="F29" s="57"/>
      <c r="G29" s="33"/>
      <c r="H29" s="33"/>
      <c r="I29" s="33"/>
      <c r="J29" s="44"/>
    </row>
    <row r="30" customFormat="false" ht="13.8" hidden="false" customHeight="false" outlineLevel="0" collapsed="false">
      <c r="B30" s="58" t="s">
        <v>16</v>
      </c>
      <c r="C30" s="23" t="s">
        <v>39</v>
      </c>
      <c r="D30" s="23" t="s">
        <v>28</v>
      </c>
      <c r="E30" s="23" t="s">
        <v>40</v>
      </c>
      <c r="I30" s="33"/>
      <c r="J30" s="44"/>
    </row>
    <row r="31" customFormat="false" ht="13.8" hidden="false" customHeight="false" outlineLevel="0" collapsed="false">
      <c r="B31" s="59" t="s">
        <v>20</v>
      </c>
      <c r="C31" s="46" t="n">
        <v>1.2492</v>
      </c>
      <c r="D31" s="47" t="s">
        <v>34</v>
      </c>
      <c r="E31" s="48" t="n">
        <f aca="false">J15/1000*2204.6223*C31</f>
        <v>1711.29869305188</v>
      </c>
      <c r="I31" s="33"/>
      <c r="J31" s="44"/>
    </row>
    <row r="32" customFormat="false" ht="13.8" hidden="false" customHeight="false" outlineLevel="0" collapsed="false">
      <c r="B32" s="59" t="s">
        <v>22</v>
      </c>
      <c r="C32" s="46" t="n">
        <v>0.8702</v>
      </c>
      <c r="D32" s="47" t="s">
        <v>35</v>
      </c>
      <c r="E32" s="48" t="n">
        <f aca="false">J16/1000*2204.6223*C32</f>
        <v>2167.4557137568</v>
      </c>
      <c r="I32" s="33"/>
      <c r="J32" s="44"/>
    </row>
    <row r="33" customFormat="false" ht="14.4" hidden="false" customHeight="true" outlineLevel="0" collapsed="false">
      <c r="B33" s="60" t="s">
        <v>23</v>
      </c>
      <c r="C33" s="46" t="n">
        <v>37.35</v>
      </c>
      <c r="D33" s="47" t="s">
        <v>36</v>
      </c>
      <c r="E33" s="48" t="n">
        <f aca="false">J17*1000/31.1035*C33</f>
        <v>23741.9480605077</v>
      </c>
      <c r="J33" s="61"/>
    </row>
    <row r="34" s="62" customFormat="true" ht="19.8" hidden="false" customHeight="true" outlineLevel="0" collapsed="false">
      <c r="B34" s="63" t="s">
        <v>41</v>
      </c>
      <c r="C34" s="63"/>
      <c r="D34" s="64" t="n">
        <f aca="false">SUM(E31:E33)</f>
        <v>27620.7024673163</v>
      </c>
      <c r="E34" s="65" t="s">
        <v>42</v>
      </c>
      <c r="F34" s="66"/>
      <c r="H34" s="67"/>
      <c r="J34" s="44"/>
    </row>
    <row r="35" s="62" customFormat="true" ht="19.8" hidden="false" customHeight="true" outlineLevel="0" collapsed="false">
      <c r="B35" s="68" t="s">
        <v>41</v>
      </c>
      <c r="C35" s="68"/>
      <c r="D35" s="69" t="n">
        <f aca="false">D34*D11</f>
        <v>192240.089172522</v>
      </c>
      <c r="E35" s="70" t="s">
        <v>43</v>
      </c>
      <c r="F35" s="71"/>
      <c r="G35" s="72"/>
      <c r="H35" s="72"/>
      <c r="I35" s="0"/>
      <c r="J35" s="0"/>
      <c r="L35" s="64"/>
    </row>
    <row r="36" customFormat="false" ht="13.8" hidden="false" customHeight="false" outlineLevel="0" collapsed="false">
      <c r="B36" s="73" t="s">
        <v>44</v>
      </c>
      <c r="C36" s="73"/>
      <c r="D36" s="73"/>
      <c r="E36" s="73"/>
      <c r="F36" s="73"/>
      <c r="G36" s="54"/>
      <c r="H36" s="8"/>
      <c r="I36" s="8"/>
      <c r="J36" s="9"/>
    </row>
    <row r="37" customFormat="false" ht="14.9" hidden="false" customHeight="false" outlineLevel="0" collapsed="false">
      <c r="B37" s="74" t="s">
        <v>45</v>
      </c>
      <c r="C37" s="74"/>
      <c r="D37" s="75" t="n">
        <v>200</v>
      </c>
      <c r="E37" s="76" t="s">
        <v>46</v>
      </c>
      <c r="F37" s="77" t="s">
        <v>47</v>
      </c>
      <c r="G37" s="54"/>
      <c r="H37" s="8"/>
      <c r="I37" s="8"/>
      <c r="J37" s="9"/>
    </row>
    <row r="38" customFormat="false" ht="13.8" hidden="false" customHeight="false" outlineLevel="0" collapsed="false">
      <c r="B38" s="63" t="s">
        <v>48</v>
      </c>
      <c r="C38" s="63"/>
      <c r="D38" s="64" t="n">
        <f aca="false">D37*F15/1000</f>
        <v>1129.788</v>
      </c>
      <c r="E38" s="62" t="s">
        <v>49</v>
      </c>
      <c r="F38" s="65"/>
      <c r="G38" s="78"/>
      <c r="H38" s="78"/>
      <c r="I38" s="64"/>
      <c r="J38" s="79"/>
    </row>
    <row r="39" customFormat="false" ht="13.8" hidden="false" customHeight="false" outlineLevel="0" collapsed="false">
      <c r="B39" s="68" t="s">
        <v>48</v>
      </c>
      <c r="C39" s="68"/>
      <c r="D39" s="80" t="n">
        <f aca="false">D38*D11</f>
        <v>7863.32448</v>
      </c>
      <c r="E39" s="81" t="s">
        <v>43</v>
      </c>
      <c r="F39" s="82"/>
      <c r="G39" s="83"/>
      <c r="H39" s="83"/>
      <c r="I39" s="84"/>
      <c r="J39" s="85"/>
    </row>
    <row r="40" customFormat="false" ht="13.8" hidden="false" customHeight="false" outlineLevel="0" collapsed="false">
      <c r="B40" s="86" t="s">
        <v>50</v>
      </c>
      <c r="C40" s="86"/>
      <c r="D40" s="86"/>
      <c r="E40" s="86"/>
      <c r="F40" s="86"/>
      <c r="G40" s="8"/>
      <c r="H40" s="8"/>
      <c r="I40" s="8"/>
      <c r="J40" s="9"/>
    </row>
    <row r="41" customFormat="false" ht="13.8" hidden="false" customHeight="false" outlineLevel="0" collapsed="false">
      <c r="B41" s="63" t="s">
        <v>51</v>
      </c>
      <c r="C41" s="63"/>
      <c r="D41" s="62"/>
      <c r="E41" s="62"/>
      <c r="F41" s="62" t="s">
        <v>52</v>
      </c>
      <c r="G41" s="87" t="n">
        <f aca="false">J26</f>
        <v>12914.0739154436</v>
      </c>
      <c r="H41" s="62" t="s">
        <v>53</v>
      </c>
      <c r="I41" s="62"/>
      <c r="J41" s="79"/>
    </row>
    <row r="42" customFormat="false" ht="13.8" hidden="false" customHeight="false" outlineLevel="0" collapsed="false">
      <c r="B42" s="63" t="s">
        <v>54</v>
      </c>
      <c r="C42" s="63"/>
      <c r="D42" s="1" t="n">
        <v>1.8</v>
      </c>
      <c r="E42" s="1" t="s">
        <v>21</v>
      </c>
      <c r="F42" s="1" t="s">
        <v>52</v>
      </c>
      <c r="G42" s="88" t="n">
        <f aca="false">D39*D42/100</f>
        <v>141.53984064</v>
      </c>
      <c r="H42" s="62" t="s">
        <v>53</v>
      </c>
      <c r="J42" s="61"/>
    </row>
    <row r="43" customFormat="false" ht="13.8" hidden="false" customHeight="false" outlineLevel="0" collapsed="false">
      <c r="B43" s="63" t="s">
        <v>55</v>
      </c>
      <c r="C43" s="63"/>
      <c r="D43" s="1" t="n">
        <v>1</v>
      </c>
      <c r="E43" s="1" t="s">
        <v>21</v>
      </c>
      <c r="F43" s="1" t="s">
        <v>52</v>
      </c>
      <c r="G43" s="88" t="n">
        <f aca="false">D39*D43/100</f>
        <v>78.6332448</v>
      </c>
      <c r="H43" s="62" t="s">
        <v>53</v>
      </c>
      <c r="J43" s="61"/>
    </row>
    <row r="44" customFormat="false" ht="13.8" hidden="false" customHeight="false" outlineLevel="0" collapsed="false">
      <c r="B44" s="63" t="s">
        <v>56</v>
      </c>
      <c r="C44" s="63"/>
      <c r="D44" s="1" t="n">
        <v>5</v>
      </c>
      <c r="E44" s="1" t="s">
        <v>21</v>
      </c>
      <c r="F44" s="1" t="s">
        <v>57</v>
      </c>
      <c r="G44" s="88" t="n">
        <f aca="false">D39*D44/100</f>
        <v>393.166224</v>
      </c>
      <c r="H44" s="62" t="s">
        <v>53</v>
      </c>
      <c r="J44" s="61"/>
    </row>
    <row r="45" customFormat="false" ht="13.8" hidden="false" customHeight="false" outlineLevel="0" collapsed="false">
      <c r="B45" s="68" t="s">
        <v>58</v>
      </c>
      <c r="C45" s="68"/>
      <c r="D45" s="42" t="n">
        <v>1</v>
      </c>
      <c r="E45" s="42" t="s">
        <v>21</v>
      </c>
      <c r="F45" s="42" t="s">
        <v>57</v>
      </c>
      <c r="G45" s="84" t="n">
        <f aca="false">D39*D45/100</f>
        <v>78.6332448</v>
      </c>
      <c r="H45" s="62" t="s">
        <v>53</v>
      </c>
      <c r="I45" s="42"/>
      <c r="J45" s="43"/>
    </row>
    <row r="46" customFormat="false" ht="13.8" hidden="false" customHeight="false" outlineLevel="0" collapsed="false">
      <c r="B46" s="89" t="s">
        <v>25</v>
      </c>
      <c r="C46" s="89"/>
      <c r="D46" s="89"/>
      <c r="E46" s="89"/>
      <c r="F46" s="89"/>
      <c r="G46" s="90" t="n">
        <f aca="false">SUM(G41:G45)</f>
        <v>13606.0464696836</v>
      </c>
      <c r="H46" s="91" t="s">
        <v>53</v>
      </c>
      <c r="I46" s="42"/>
      <c r="J46" s="43"/>
    </row>
    <row r="47" customFormat="false" ht="5.4" hidden="false" customHeight="true" outlineLevel="0" collapsed="false">
      <c r="B47" s="86"/>
      <c r="C47" s="86"/>
      <c r="D47" s="86"/>
      <c r="E47" s="86"/>
      <c r="F47" s="86"/>
      <c r="G47" s="8"/>
      <c r="H47" s="8"/>
      <c r="I47" s="8"/>
      <c r="J47" s="9"/>
    </row>
    <row r="48" customFormat="false" ht="13.8" hidden="false" customHeight="false" outlineLevel="0" collapsed="false">
      <c r="B48" s="92" t="s">
        <v>59</v>
      </c>
      <c r="C48" s="92"/>
      <c r="D48" s="92"/>
      <c r="E48" s="92"/>
      <c r="F48" s="93"/>
      <c r="G48" s="93"/>
      <c r="H48" s="94"/>
      <c r="I48" s="95" t="n">
        <f aca="false">D39-G46</f>
        <v>-5742.72198968363</v>
      </c>
      <c r="J48" s="79" t="s">
        <v>43</v>
      </c>
    </row>
    <row r="49" customFormat="false" ht="5.4" hidden="false" customHeight="true" outlineLevel="0" collapsed="false">
      <c r="B49" s="68"/>
      <c r="C49" s="68"/>
      <c r="D49" s="42"/>
      <c r="E49" s="42"/>
      <c r="F49" s="42"/>
      <c r="G49" s="42"/>
      <c r="H49" s="42"/>
      <c r="I49" s="42"/>
      <c r="J49" s="43"/>
    </row>
    <row r="50" customFormat="false" ht="13.8" hidden="false" customHeight="false" outlineLevel="0" collapsed="false">
      <c r="B50" s="86" t="s">
        <v>60</v>
      </c>
      <c r="C50" s="86"/>
      <c r="D50" s="86"/>
      <c r="E50" s="86"/>
      <c r="F50" s="86"/>
      <c r="G50" s="8"/>
      <c r="H50" s="8"/>
      <c r="I50" s="8"/>
      <c r="J50" s="9"/>
    </row>
    <row r="51" customFormat="false" ht="13.8" hidden="false" customHeight="false" outlineLevel="0" collapsed="false">
      <c r="B51" s="63" t="s">
        <v>61</v>
      </c>
      <c r="C51" s="63"/>
      <c r="D51" s="62" t="n">
        <v>100</v>
      </c>
      <c r="E51" s="62" t="s">
        <v>43</v>
      </c>
      <c r="F51" s="62"/>
      <c r="G51" s="62"/>
      <c r="H51" s="62"/>
      <c r="I51" s="62"/>
      <c r="J51" s="79"/>
    </row>
    <row r="52" customFormat="false" ht="13.8" hidden="false" customHeight="false" outlineLevel="0" collapsed="false">
      <c r="B52" s="63"/>
      <c r="C52" s="96" t="s">
        <v>62</v>
      </c>
      <c r="D52" s="62" t="n">
        <v>200</v>
      </c>
      <c r="E52" s="62" t="s">
        <v>43</v>
      </c>
      <c r="F52" s="62"/>
      <c r="G52" s="62"/>
      <c r="H52" s="62"/>
      <c r="I52" s="62"/>
      <c r="J52" s="79"/>
    </row>
    <row r="53" customFormat="false" ht="13.8" hidden="false" customHeight="false" outlineLevel="0" collapsed="false">
      <c r="B53" s="68" t="s">
        <v>63</v>
      </c>
      <c r="C53" s="68"/>
      <c r="D53" s="81" t="n">
        <v>300</v>
      </c>
      <c r="E53" s="81" t="s">
        <v>43</v>
      </c>
      <c r="F53" s="62"/>
      <c r="G53" s="62"/>
      <c r="H53" s="62"/>
      <c r="I53" s="62"/>
      <c r="J53" s="79"/>
    </row>
    <row r="54" customFormat="false" ht="13.8" hidden="false" customHeight="false" outlineLevel="0" collapsed="false">
      <c r="B54" s="97" t="s">
        <v>25</v>
      </c>
      <c r="C54" s="97"/>
      <c r="D54" s="98" t="n">
        <f aca="false">SUM(D51:D53)</f>
        <v>600</v>
      </c>
      <c r="E54" s="98" t="s">
        <v>43</v>
      </c>
      <c r="F54" s="42"/>
      <c r="G54" s="42"/>
      <c r="H54" s="42"/>
      <c r="I54" s="42"/>
      <c r="J54" s="43"/>
    </row>
    <row r="55" customFormat="false" ht="13.8" hidden="false" customHeight="false" outlineLevel="0" collapsed="false">
      <c r="B55" s="97"/>
      <c r="C55" s="99"/>
      <c r="D55" s="98"/>
      <c r="E55" s="98"/>
      <c r="F55" s="42"/>
      <c r="G55" s="42"/>
      <c r="H55" s="42"/>
      <c r="I55" s="42"/>
      <c r="J55" s="43"/>
    </row>
    <row r="56" customFormat="false" ht="13.8" hidden="false" customHeight="false" outlineLevel="0" collapsed="false">
      <c r="B56" s="86" t="s">
        <v>64</v>
      </c>
      <c r="C56" s="86"/>
      <c r="D56" s="86"/>
      <c r="E56" s="86"/>
      <c r="F56" s="86"/>
      <c r="G56" s="8"/>
      <c r="H56" s="8"/>
      <c r="I56" s="8"/>
      <c r="J56" s="9"/>
    </row>
    <row r="57" customFormat="false" ht="13.8" hidden="false" customHeight="false" outlineLevel="0" collapsed="false">
      <c r="B57" s="63" t="s">
        <v>65</v>
      </c>
      <c r="C57" s="63"/>
      <c r="D57" s="62" t="n">
        <v>1200</v>
      </c>
      <c r="E57" s="62" t="s">
        <v>43</v>
      </c>
      <c r="F57" s="62"/>
      <c r="G57" s="62"/>
      <c r="H57" s="62"/>
      <c r="I57" s="62"/>
      <c r="J57" s="79"/>
    </row>
    <row r="58" customFormat="false" ht="13.8" hidden="false" customHeight="false" outlineLevel="0" collapsed="false">
      <c r="B58" s="63" t="s">
        <v>66</v>
      </c>
      <c r="C58" s="63"/>
      <c r="D58" s="62" t="n">
        <v>500</v>
      </c>
      <c r="E58" s="62" t="s">
        <v>43</v>
      </c>
      <c r="F58" s="62"/>
      <c r="G58" s="62"/>
      <c r="H58" s="62"/>
      <c r="I58" s="62"/>
      <c r="J58" s="79"/>
    </row>
    <row r="59" customFormat="false" ht="13.8" hidden="false" customHeight="false" outlineLevel="0" collapsed="false">
      <c r="B59" s="68" t="s">
        <v>67</v>
      </c>
      <c r="C59" s="68"/>
      <c r="D59" s="81" t="n">
        <v>0</v>
      </c>
      <c r="E59" s="81" t="s">
        <v>43</v>
      </c>
      <c r="F59" s="62"/>
      <c r="G59" s="62"/>
      <c r="H59" s="62"/>
      <c r="I59" s="62"/>
      <c r="J59" s="79"/>
    </row>
    <row r="60" customFormat="false" ht="13.8" hidden="false" customHeight="false" outlineLevel="0" collapsed="false">
      <c r="B60" s="97" t="s">
        <v>25</v>
      </c>
      <c r="C60" s="97"/>
      <c r="D60" s="98" t="n">
        <f aca="false">SUM(D57:D59)</f>
        <v>1700</v>
      </c>
      <c r="E60" s="98" t="s">
        <v>43</v>
      </c>
      <c r="F60" s="62"/>
      <c r="G60" s="62"/>
      <c r="H60" s="62"/>
      <c r="I60" s="62"/>
      <c r="J60" s="79"/>
    </row>
    <row r="61" customFormat="false" ht="9.6" hidden="false" customHeight="true" outlineLevel="0" collapsed="false">
      <c r="B61" s="86"/>
      <c r="C61" s="86"/>
      <c r="D61" s="86"/>
      <c r="E61" s="86"/>
      <c r="F61" s="86"/>
      <c r="G61" s="8"/>
      <c r="H61" s="8"/>
      <c r="I61" s="8"/>
      <c r="J61" s="9"/>
    </row>
    <row r="62" customFormat="false" ht="13.8" hidden="false" customHeight="false" outlineLevel="0" collapsed="false">
      <c r="B62" s="92" t="s">
        <v>68</v>
      </c>
      <c r="C62" s="92"/>
      <c r="D62" s="92"/>
      <c r="E62" s="92"/>
      <c r="F62" s="93"/>
      <c r="G62" s="93"/>
      <c r="H62" s="94"/>
      <c r="I62" s="95" t="n">
        <f aca="false">I48+D54-D60</f>
        <v>-6842.72198968363</v>
      </c>
      <c r="J62" s="79" t="s">
        <v>43</v>
      </c>
    </row>
    <row r="63" customFormat="false" ht="7.2" hidden="false" customHeight="true" outlineLevel="0" collapsed="false">
      <c r="B63" s="63"/>
      <c r="C63" s="63"/>
      <c r="J63" s="61"/>
    </row>
    <row r="64" customFormat="false" ht="5.4" hidden="false" customHeight="true" outlineLevel="0" collapsed="false">
      <c r="B64" s="100"/>
      <c r="C64" s="8"/>
      <c r="D64" s="8"/>
      <c r="E64" s="8"/>
      <c r="F64" s="2"/>
      <c r="G64" s="3"/>
      <c r="H64" s="3"/>
      <c r="I64" s="3"/>
      <c r="J64" s="4"/>
    </row>
    <row r="65" customFormat="false" ht="18.6" hidden="false" customHeight="true" outlineLevel="0" collapsed="false">
      <c r="B65" s="101"/>
      <c r="C65" s="102"/>
      <c r="D65" s="102"/>
      <c r="E65" s="102"/>
      <c r="F65" s="103" t="s">
        <v>69</v>
      </c>
      <c r="G65" s="103"/>
      <c r="H65" s="104" t="n">
        <f aca="false">I62/D11/F15*1000</f>
        <v>-174.041450459987</v>
      </c>
      <c r="I65" s="105" t="s">
        <v>46</v>
      </c>
      <c r="J65" s="106"/>
    </row>
    <row r="66" customFormat="false" ht="14.4" hidden="false" customHeight="false" outlineLevel="0" collapsed="false"/>
    <row r="67" customFormat="false" ht="13.8" hidden="false" customHeight="false" outlineLevel="0" collapsed="false">
      <c r="C67" s="107" t="s">
        <v>17</v>
      </c>
      <c r="D67" s="108"/>
      <c r="E67" s="108"/>
      <c r="F67" s="108"/>
      <c r="G67" s="108"/>
      <c r="H67" s="108"/>
      <c r="I67" s="109"/>
    </row>
    <row r="68" customFormat="false" ht="14.4" hidden="false" customHeight="false" outlineLevel="0" collapsed="false">
      <c r="C68" s="110" t="s">
        <v>70</v>
      </c>
      <c r="D68" s="111"/>
      <c r="E68" s="111"/>
      <c r="F68" s="111"/>
      <c r="G68" s="111"/>
      <c r="H68" s="111"/>
      <c r="I68" s="112"/>
    </row>
    <row r="69" customFormat="false" ht="13.8" hidden="false" customHeight="false" outlineLevel="0" collapsed="false">
      <c r="D69" s="113"/>
      <c r="E69" s="113"/>
      <c r="F69" s="113"/>
      <c r="G69" s="113"/>
      <c r="H69" s="113"/>
      <c r="I69" s="113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2">
    <mergeCell ref="B2:J2"/>
    <mergeCell ref="B3:J3"/>
    <mergeCell ref="B4:C4"/>
    <mergeCell ref="B5:C5"/>
    <mergeCell ref="D5:J5"/>
    <mergeCell ref="B6:C6"/>
    <mergeCell ref="D6:J6"/>
    <mergeCell ref="B7:C7"/>
    <mergeCell ref="D7:J7"/>
    <mergeCell ref="B8:E8"/>
    <mergeCell ref="B9:C9"/>
    <mergeCell ref="D9:J9"/>
    <mergeCell ref="B10:C10"/>
    <mergeCell ref="B11:C11"/>
    <mergeCell ref="B12:C12"/>
    <mergeCell ref="D12:J12"/>
    <mergeCell ref="G18:I18"/>
    <mergeCell ref="B29:C29"/>
    <mergeCell ref="B34:C34"/>
    <mergeCell ref="B35:C35"/>
    <mergeCell ref="G35:H35"/>
    <mergeCell ref="B36:F36"/>
    <mergeCell ref="B37:C37"/>
    <mergeCell ref="B38:C38"/>
    <mergeCell ref="G38:H38"/>
    <mergeCell ref="B39:C39"/>
    <mergeCell ref="G39:H39"/>
    <mergeCell ref="B40:F40"/>
    <mergeCell ref="B41:C41"/>
    <mergeCell ref="B42:C42"/>
    <mergeCell ref="B43:C43"/>
    <mergeCell ref="B44:C44"/>
    <mergeCell ref="B45:C45"/>
    <mergeCell ref="B46:F46"/>
    <mergeCell ref="B47:F47"/>
    <mergeCell ref="B48:E48"/>
    <mergeCell ref="F48:G48"/>
    <mergeCell ref="B49:C49"/>
    <mergeCell ref="B50:F50"/>
    <mergeCell ref="B51:C51"/>
    <mergeCell ref="B53:C53"/>
    <mergeCell ref="B54:C54"/>
    <mergeCell ref="B56:F56"/>
    <mergeCell ref="B57:C57"/>
    <mergeCell ref="B58:C58"/>
    <mergeCell ref="B59:C59"/>
    <mergeCell ref="B60:C60"/>
    <mergeCell ref="B61:F61"/>
    <mergeCell ref="B62:E62"/>
    <mergeCell ref="F62:G62"/>
    <mergeCell ref="B63:C63"/>
    <mergeCell ref="F65:G6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L76"/>
  <sheetViews>
    <sheetView showFormulas="false" showGridLines="true" showRowColHeaders="true" showZeros="true" rightToLeft="false" tabSelected="false" showOutlineSymbols="true" defaultGridColor="true" view="normal" topLeftCell="A36" colorId="64" zoomScale="160" zoomScaleNormal="160" zoomScalePageLayoutView="100" workbookViewId="0">
      <selection pane="topLeft" activeCell="D47" activeCellId="0" sqref="D47"/>
    </sheetView>
  </sheetViews>
  <sheetFormatPr defaultRowHeight="13.8" zeroHeight="false" outlineLevelRow="0" outlineLevelCol="0"/>
  <cols>
    <col collapsed="false" customWidth="true" hidden="false" outlineLevel="0" max="1" min="1" style="1" width="1.89"/>
    <col collapsed="false" customWidth="true" hidden="false" outlineLevel="0" max="1025" min="2" style="1" width="11.57"/>
  </cols>
  <sheetData>
    <row r="1" customFormat="false" ht="8.4" hidden="false" customHeight="true" outlineLevel="0" collapsed="false">
      <c r="B1" s="2"/>
      <c r="C1" s="3"/>
      <c r="D1" s="3"/>
      <c r="E1" s="3"/>
      <c r="F1" s="3"/>
      <c r="G1" s="3"/>
      <c r="H1" s="3"/>
      <c r="I1" s="3"/>
      <c r="J1" s="4"/>
    </row>
    <row r="2" customFormat="false" ht="13.8" hidden="false" customHeight="false" outlineLevel="0" collapsed="false">
      <c r="B2" s="5" t="s">
        <v>0</v>
      </c>
      <c r="C2" s="5"/>
      <c r="D2" s="5"/>
      <c r="E2" s="5"/>
      <c r="F2" s="5"/>
      <c r="G2" s="5"/>
      <c r="H2" s="5"/>
      <c r="I2" s="5"/>
      <c r="J2" s="5"/>
    </row>
    <row r="3" customFormat="false" ht="13.8" hidden="false" customHeight="false" outlineLevel="0" collapsed="false">
      <c r="B3" s="6" t="s">
        <v>1</v>
      </c>
      <c r="C3" s="6"/>
      <c r="D3" s="6"/>
      <c r="E3" s="6"/>
      <c r="F3" s="6"/>
      <c r="G3" s="6"/>
      <c r="H3" s="6"/>
      <c r="I3" s="6"/>
      <c r="J3" s="6"/>
    </row>
    <row r="4" customFormat="false" ht="13.2" hidden="false" customHeight="true" outlineLevel="0" collapsed="false">
      <c r="B4" s="86" t="s">
        <v>71</v>
      </c>
      <c r="C4" s="86"/>
      <c r="D4" s="8"/>
      <c r="E4" s="8"/>
      <c r="F4" s="8"/>
      <c r="G4" s="8"/>
      <c r="H4" s="8"/>
      <c r="I4" s="8"/>
      <c r="J4" s="9"/>
    </row>
    <row r="5" s="10" customFormat="true" ht="13.2" hidden="false" customHeight="true" outlineLevel="0" collapsed="false">
      <c r="B5" s="114" t="s">
        <v>72</v>
      </c>
      <c r="C5" s="114"/>
      <c r="D5" s="12"/>
      <c r="E5" s="12"/>
      <c r="F5" s="12"/>
      <c r="G5" s="12"/>
      <c r="H5" s="12"/>
      <c r="I5" s="12"/>
      <c r="J5" s="12"/>
    </row>
    <row r="6" s="10" customFormat="true" ht="13.2" hidden="false" customHeight="true" outlineLevel="0" collapsed="false">
      <c r="B6" s="114" t="s">
        <v>73</v>
      </c>
      <c r="C6" s="114"/>
      <c r="D6" s="12"/>
      <c r="E6" s="12"/>
      <c r="F6" s="12"/>
      <c r="G6" s="12"/>
      <c r="H6" s="12"/>
      <c r="I6" s="12"/>
      <c r="J6" s="12"/>
    </row>
    <row r="7" s="10" customFormat="true" ht="13.2" hidden="false" customHeight="true" outlineLevel="0" collapsed="false">
      <c r="B7" s="115" t="s">
        <v>5</v>
      </c>
      <c r="C7" s="115"/>
      <c r="D7" s="14"/>
      <c r="E7" s="14"/>
      <c r="F7" s="14"/>
      <c r="G7" s="14"/>
      <c r="H7" s="14"/>
      <c r="I7" s="14"/>
      <c r="J7" s="14"/>
    </row>
    <row r="8" customFormat="false" ht="13.2" hidden="false" customHeight="true" outlineLevel="0" collapsed="false">
      <c r="B8" s="7" t="s">
        <v>74</v>
      </c>
      <c r="C8" s="7"/>
      <c r="D8" s="8"/>
      <c r="E8" s="8"/>
      <c r="F8" s="8"/>
      <c r="G8" s="8"/>
      <c r="H8" s="8"/>
      <c r="I8" s="8"/>
      <c r="J8" s="9"/>
    </row>
    <row r="9" s="10" customFormat="true" ht="13.2" hidden="false" customHeight="true" outlineLevel="0" collapsed="false">
      <c r="B9" s="11" t="s">
        <v>72</v>
      </c>
      <c r="C9" s="11"/>
      <c r="D9" s="12"/>
      <c r="E9" s="12"/>
      <c r="F9" s="12"/>
      <c r="G9" s="12"/>
      <c r="H9" s="12"/>
      <c r="I9" s="12"/>
      <c r="J9" s="12"/>
    </row>
    <row r="10" s="10" customFormat="true" ht="13.2" hidden="false" customHeight="true" outlineLevel="0" collapsed="false">
      <c r="B10" s="11" t="s">
        <v>73</v>
      </c>
      <c r="C10" s="11"/>
      <c r="D10" s="12"/>
      <c r="E10" s="12"/>
      <c r="F10" s="12"/>
      <c r="G10" s="12"/>
      <c r="H10" s="12"/>
      <c r="I10" s="12"/>
      <c r="J10" s="12"/>
    </row>
    <row r="11" s="10" customFormat="true" ht="13.2" hidden="false" customHeight="true" outlineLevel="0" collapsed="false">
      <c r="B11" s="13" t="s">
        <v>5</v>
      </c>
      <c r="C11" s="13"/>
      <c r="D11" s="14"/>
      <c r="E11" s="14"/>
      <c r="F11" s="14"/>
      <c r="G11" s="14"/>
      <c r="H11" s="14"/>
      <c r="I11" s="14"/>
      <c r="J11" s="14"/>
    </row>
    <row r="12" customFormat="false" ht="13.2" hidden="false" customHeight="true" outlineLevel="0" collapsed="false">
      <c r="B12" s="7" t="s">
        <v>6</v>
      </c>
      <c r="C12" s="7"/>
      <c r="D12" s="7"/>
      <c r="E12" s="7"/>
      <c r="F12" s="8"/>
      <c r="G12" s="8"/>
      <c r="H12" s="8"/>
      <c r="I12" s="8"/>
      <c r="J12" s="9"/>
    </row>
    <row r="13" s="10" customFormat="true" ht="13.2" hidden="false" customHeight="true" outlineLevel="0" collapsed="false">
      <c r="B13" s="15" t="s">
        <v>7</v>
      </c>
      <c r="C13" s="15"/>
      <c r="D13" s="12"/>
      <c r="E13" s="12"/>
      <c r="F13" s="12"/>
      <c r="G13" s="12"/>
      <c r="H13" s="12"/>
      <c r="I13" s="12"/>
      <c r="J13" s="12"/>
    </row>
    <row r="14" s="10" customFormat="true" ht="13.2" hidden="false" customHeight="true" outlineLevel="0" collapsed="false">
      <c r="B14" s="15" t="s">
        <v>8</v>
      </c>
      <c r="C14" s="15"/>
      <c r="D14" s="16"/>
      <c r="E14" s="17"/>
      <c r="F14" s="17"/>
      <c r="G14" s="17"/>
      <c r="H14" s="17"/>
      <c r="I14" s="17"/>
      <c r="J14" s="12"/>
    </row>
    <row r="15" s="10" customFormat="true" ht="13.2" hidden="false" customHeight="true" outlineLevel="0" collapsed="false">
      <c r="B15" s="15" t="s">
        <v>9</v>
      </c>
      <c r="C15" s="15"/>
      <c r="D15" s="10" t="n">
        <v>6.96</v>
      </c>
      <c r="J15" s="18"/>
    </row>
    <row r="16" s="10" customFormat="true" ht="7.2" hidden="false" customHeight="true" outlineLevel="0" collapsed="false">
      <c r="B16" s="13"/>
      <c r="C16" s="13"/>
      <c r="D16" s="14"/>
      <c r="E16" s="14"/>
      <c r="F16" s="14"/>
      <c r="G16" s="14"/>
      <c r="H16" s="14"/>
      <c r="I16" s="14"/>
      <c r="J16" s="14"/>
    </row>
    <row r="17" customFormat="false" ht="13.8" hidden="false" customHeight="false" outlineLevel="0" collapsed="false">
      <c r="B17" s="19" t="s">
        <v>10</v>
      </c>
      <c r="C17" s="20"/>
      <c r="D17" s="8"/>
      <c r="E17" s="8"/>
      <c r="F17" s="8"/>
      <c r="G17" s="8"/>
      <c r="H17" s="8"/>
      <c r="I17" s="8"/>
      <c r="J17" s="9"/>
    </row>
    <row r="18" s="21" customFormat="true" ht="21.6" hidden="false" customHeight="true" outlineLevel="0" collapsed="false">
      <c r="B18" s="22" t="s">
        <v>11</v>
      </c>
      <c r="C18" s="23" t="s">
        <v>12</v>
      </c>
      <c r="D18" s="23" t="s">
        <v>13</v>
      </c>
      <c r="E18" s="23" t="s">
        <v>14</v>
      </c>
      <c r="F18" s="23" t="s">
        <v>15</v>
      </c>
      <c r="G18" s="23" t="s">
        <v>16</v>
      </c>
      <c r="H18" s="23" t="s">
        <v>17</v>
      </c>
      <c r="I18" s="23" t="s">
        <v>18</v>
      </c>
      <c r="J18" s="24" t="s">
        <v>19</v>
      </c>
    </row>
    <row r="19" customFormat="false" ht="12.6" hidden="false" customHeight="true" outlineLevel="0" collapsed="false">
      <c r="B19" s="25" t="n">
        <v>33950</v>
      </c>
      <c r="C19" s="26" t="n">
        <v>11000</v>
      </c>
      <c r="D19" s="26" t="n">
        <v>2.02</v>
      </c>
      <c r="E19" s="26" t="n">
        <v>1</v>
      </c>
      <c r="F19" s="27" t="n">
        <f aca="false">(B19-C19)*(1-D19/100)*(1-E19/100)</f>
        <v>22261.5459</v>
      </c>
      <c r="G19" s="28" t="s">
        <v>20</v>
      </c>
      <c r="H19" s="30" t="n">
        <v>8.8187</v>
      </c>
      <c r="I19" s="30" t="s">
        <v>21</v>
      </c>
      <c r="J19" s="31" t="n">
        <f aca="false">F19*H19/100</f>
        <v>1963.1789482833</v>
      </c>
    </row>
    <row r="20" customFormat="false" ht="12.6" hidden="false" customHeight="true" outlineLevel="0" collapsed="false">
      <c r="B20" s="32"/>
      <c r="C20" s="33"/>
      <c r="D20" s="33"/>
      <c r="E20" s="33"/>
      <c r="F20" s="33"/>
      <c r="G20" s="28" t="s">
        <v>22</v>
      </c>
      <c r="H20" s="30" t="n">
        <v>1.3213</v>
      </c>
      <c r="I20" s="30" t="s">
        <v>21</v>
      </c>
      <c r="J20" s="31" t="n">
        <f aca="false">F19*H20/100</f>
        <v>294.1418059767</v>
      </c>
    </row>
    <row r="21" customFormat="false" ht="12" hidden="false" customHeight="true" outlineLevel="0" collapsed="false">
      <c r="B21" s="32"/>
      <c r="G21" s="34" t="s">
        <v>23</v>
      </c>
      <c r="H21" s="36" t="n">
        <v>263.2</v>
      </c>
      <c r="I21" s="36" t="s">
        <v>75</v>
      </c>
      <c r="J21" s="37" t="n">
        <f aca="false">F19/1000*H21/1000</f>
        <v>5.85923888088</v>
      </c>
    </row>
    <row r="22" customFormat="false" ht="13.8" hidden="false" customHeight="false" outlineLevel="0" collapsed="false">
      <c r="B22" s="38"/>
      <c r="G22" s="39" t="s">
        <v>25</v>
      </c>
      <c r="H22" s="39"/>
      <c r="I22" s="39"/>
      <c r="J22" s="40" t="n">
        <f aca="false">SUM(J19:J21)</f>
        <v>2263.17999314088</v>
      </c>
    </row>
    <row r="23" customFormat="false" ht="5.4" hidden="false" customHeight="true" outlineLevel="0" collapsed="false">
      <c r="B23" s="41"/>
      <c r="C23" s="42"/>
      <c r="D23" s="42"/>
      <c r="E23" s="42"/>
      <c r="F23" s="42"/>
      <c r="G23" s="42"/>
      <c r="H23" s="42"/>
      <c r="I23" s="42"/>
      <c r="J23" s="43"/>
    </row>
    <row r="24" customFormat="false" ht="13.8" hidden="false" customHeight="false" outlineLevel="0" collapsed="false">
      <c r="B24" s="19" t="s">
        <v>26</v>
      </c>
      <c r="C24" s="20"/>
      <c r="D24" s="8"/>
      <c r="E24" s="8"/>
      <c r="F24" s="8"/>
      <c r="G24" s="8"/>
      <c r="H24" s="8"/>
      <c r="I24" s="8"/>
      <c r="J24" s="9"/>
    </row>
    <row r="25" customFormat="false" ht="8.4" hidden="false" customHeight="true" outlineLevel="0" collapsed="false">
      <c r="B25" s="38"/>
      <c r="H25" s="33"/>
      <c r="I25" s="33"/>
      <c r="J25" s="44"/>
    </row>
    <row r="26" customFormat="false" ht="13.8" hidden="false" customHeight="false" outlineLevel="0" collapsed="false">
      <c r="B26" s="38"/>
      <c r="C26" s="45" t="s">
        <v>16</v>
      </c>
      <c r="D26" s="23" t="s">
        <v>76</v>
      </c>
      <c r="E26" s="23" t="s">
        <v>28</v>
      </c>
      <c r="F26" s="23" t="s">
        <v>29</v>
      </c>
      <c r="G26" s="23" t="s">
        <v>31</v>
      </c>
      <c r="H26" s="23" t="s">
        <v>32</v>
      </c>
      <c r="I26" s="23" t="s">
        <v>33</v>
      </c>
      <c r="J26" s="44"/>
    </row>
    <row r="27" customFormat="false" ht="13.8" hidden="false" customHeight="false" outlineLevel="0" collapsed="false">
      <c r="B27" s="38"/>
      <c r="C27" s="28" t="s">
        <v>20</v>
      </c>
      <c r="D27" s="46" t="n">
        <v>1.24</v>
      </c>
      <c r="E27" s="47" t="s">
        <v>34</v>
      </c>
      <c r="F27" s="48" t="n">
        <f aca="false">J19/1000*2204.6223*D27</f>
        <v>5366.80442946213</v>
      </c>
      <c r="G27" s="46" t="n">
        <v>3</v>
      </c>
      <c r="H27" s="48" t="n">
        <f aca="false">F27*G27/100</f>
        <v>161.004132883864</v>
      </c>
      <c r="I27" s="48" t="n">
        <f aca="false">H27*D$15</f>
        <v>1120.58876487169</v>
      </c>
      <c r="J27" s="44"/>
    </row>
    <row r="28" customFormat="false" ht="13.8" hidden="false" customHeight="false" outlineLevel="0" collapsed="false">
      <c r="B28" s="38"/>
      <c r="C28" s="28" t="s">
        <v>22</v>
      </c>
      <c r="D28" s="46" t="n">
        <v>0.89</v>
      </c>
      <c r="E28" s="47" t="s">
        <v>35</v>
      </c>
      <c r="F28" s="48" t="n">
        <f aca="false">J20/1000*2204.6223*D28</f>
        <v>577.13971048847</v>
      </c>
      <c r="G28" s="46" t="n">
        <v>3</v>
      </c>
      <c r="H28" s="48" t="n">
        <f aca="false">F28*G28/100</f>
        <v>17.3141913146541</v>
      </c>
      <c r="I28" s="48" t="n">
        <f aca="false">H28*D$15</f>
        <v>120.506771549993</v>
      </c>
      <c r="J28" s="44"/>
    </row>
    <row r="29" customFormat="false" ht="13.8" hidden="false" customHeight="false" outlineLevel="0" collapsed="false">
      <c r="B29" s="38"/>
      <c r="C29" s="34" t="s">
        <v>23</v>
      </c>
      <c r="D29" s="46" t="n">
        <v>28.67</v>
      </c>
      <c r="E29" s="47" t="s">
        <v>36</v>
      </c>
      <c r="F29" s="48" t="n">
        <f aca="false">J21*1000/31.1035*D29</f>
        <v>5400.81915909237</v>
      </c>
      <c r="G29" s="46" t="n">
        <v>3.6</v>
      </c>
      <c r="H29" s="48" t="n">
        <f aca="false">F29*G29/100</f>
        <v>194.429489727325</v>
      </c>
      <c r="I29" s="48" t="n">
        <f aca="false">H29*D$15</f>
        <v>1353.22924850219</v>
      </c>
      <c r="J29" s="44"/>
    </row>
    <row r="30" customFormat="false" ht="13.8" hidden="false" customHeight="true" outlineLevel="0" collapsed="false">
      <c r="B30" s="38"/>
      <c r="F30" s="51" t="s">
        <v>25</v>
      </c>
      <c r="G30" s="51"/>
      <c r="H30" s="52" t="n">
        <f aca="false">SUM(H27:H29)</f>
        <v>372.747813925843</v>
      </c>
      <c r="I30" s="52" t="n">
        <f aca="false">SUM(I27:I29)</f>
        <v>2594.32478492387</v>
      </c>
      <c r="J30" s="44"/>
    </row>
    <row r="31" customFormat="false" ht="5.4" hidden="false" customHeight="true" outlineLevel="0" collapsed="false">
      <c r="B31" s="41"/>
      <c r="C31" s="42"/>
      <c r="D31" s="42"/>
      <c r="E31" s="42"/>
      <c r="F31" s="42"/>
      <c r="G31" s="42"/>
      <c r="H31" s="42"/>
      <c r="I31" s="42"/>
      <c r="J31" s="43"/>
    </row>
    <row r="32" customFormat="false" ht="13.8" hidden="false" customHeight="false" outlineLevel="0" collapsed="false">
      <c r="B32" s="19" t="s">
        <v>37</v>
      </c>
      <c r="C32" s="20"/>
      <c r="D32" s="8"/>
      <c r="E32" s="53"/>
      <c r="F32" s="54"/>
      <c r="G32" s="8"/>
      <c r="H32" s="8"/>
      <c r="I32" s="8"/>
      <c r="J32" s="9"/>
    </row>
    <row r="33" customFormat="false" ht="13.8" hidden="false" customHeight="false" outlineLevel="0" collapsed="false">
      <c r="B33" s="32" t="s">
        <v>38</v>
      </c>
      <c r="C33" s="32"/>
      <c r="D33" s="55"/>
      <c r="E33" s="56"/>
      <c r="F33" s="57"/>
      <c r="G33" s="33"/>
      <c r="H33" s="33"/>
      <c r="I33" s="33"/>
      <c r="J33" s="44"/>
    </row>
    <row r="34" customFormat="false" ht="13.8" hidden="false" customHeight="false" outlineLevel="0" collapsed="false">
      <c r="B34" s="58" t="s">
        <v>16</v>
      </c>
      <c r="C34" s="23" t="s">
        <v>39</v>
      </c>
      <c r="D34" s="23" t="s">
        <v>28</v>
      </c>
      <c r="E34" s="23" t="s">
        <v>40</v>
      </c>
      <c r="I34" s="33"/>
      <c r="J34" s="44"/>
    </row>
    <row r="35" customFormat="false" ht="13.8" hidden="false" customHeight="false" outlineLevel="0" collapsed="false">
      <c r="B35" s="59" t="s">
        <v>20</v>
      </c>
      <c r="C35" s="46" t="n">
        <v>1.24</v>
      </c>
      <c r="D35" s="47" t="s">
        <v>34</v>
      </c>
      <c r="E35" s="48" t="n">
        <f aca="false">J19/1000*2204.6223*C35</f>
        <v>5366.80442946213</v>
      </c>
      <c r="I35" s="33"/>
      <c r="J35" s="44"/>
    </row>
    <row r="36" customFormat="false" ht="13.8" hidden="false" customHeight="false" outlineLevel="0" collapsed="false">
      <c r="B36" s="59" t="s">
        <v>22</v>
      </c>
      <c r="C36" s="46" t="n">
        <v>0.89</v>
      </c>
      <c r="D36" s="47" t="s">
        <v>35</v>
      </c>
      <c r="E36" s="48" t="n">
        <f aca="false">J20/1000*2204.6223*C36</f>
        <v>577.13971048847</v>
      </c>
      <c r="I36" s="33"/>
      <c r="J36" s="44"/>
    </row>
    <row r="37" customFormat="false" ht="14.4" hidden="false" customHeight="true" outlineLevel="0" collapsed="false">
      <c r="B37" s="60" t="s">
        <v>23</v>
      </c>
      <c r="C37" s="46" t="n">
        <v>28.67</v>
      </c>
      <c r="D37" s="47" t="s">
        <v>36</v>
      </c>
      <c r="E37" s="48" t="n">
        <f aca="false">J21*1000/31.1035*C37</f>
        <v>5400.81915909237</v>
      </c>
      <c r="J37" s="61"/>
    </row>
    <row r="38" s="62" customFormat="true" ht="19.8" hidden="false" customHeight="true" outlineLevel="0" collapsed="false">
      <c r="B38" s="63" t="s">
        <v>77</v>
      </c>
      <c r="C38" s="63"/>
      <c r="D38" s="64" t="n">
        <f aca="false">SUM(E35:E37)</f>
        <v>11344.763299043</v>
      </c>
      <c r="E38" s="65" t="s">
        <v>42</v>
      </c>
      <c r="F38" s="66"/>
      <c r="H38" s="67" t="s">
        <v>78</v>
      </c>
      <c r="J38" s="44" t="s">
        <v>79</v>
      </c>
    </row>
    <row r="39" s="62" customFormat="true" ht="19.8" hidden="false" customHeight="true" outlineLevel="0" collapsed="false">
      <c r="B39" s="68" t="s">
        <v>80</v>
      </c>
      <c r="C39" s="68"/>
      <c r="D39" s="69" t="n">
        <f aca="false">D38*D15</f>
        <v>78959.5525613391</v>
      </c>
      <c r="E39" s="70" t="s">
        <v>43</v>
      </c>
      <c r="F39" s="71"/>
      <c r="G39" s="116" t="s">
        <v>69</v>
      </c>
      <c r="H39" s="116"/>
      <c r="I39" s="117" t="n">
        <f aca="false">D47/F19*1000</f>
        <v>115.120504638583</v>
      </c>
      <c r="J39" s="118" t="s">
        <v>46</v>
      </c>
      <c r="L39" s="64"/>
    </row>
    <row r="40" customFormat="false" ht="13.8" hidden="false" customHeight="false" outlineLevel="0" collapsed="false">
      <c r="B40" s="86" t="s">
        <v>81</v>
      </c>
      <c r="C40" s="86"/>
      <c r="D40" s="86"/>
      <c r="E40" s="86"/>
      <c r="F40" s="86"/>
      <c r="J40" s="61"/>
      <c r="L40" s="113"/>
    </row>
    <row r="41" customFormat="false" ht="13.8" hidden="false" customHeight="false" outlineLevel="0" collapsed="false">
      <c r="B41" s="63" t="s">
        <v>82</v>
      </c>
      <c r="C41" s="63"/>
      <c r="D41" s="62" t="n">
        <v>150</v>
      </c>
      <c r="E41" s="62" t="s">
        <v>83</v>
      </c>
      <c r="F41" s="62"/>
      <c r="G41" s="64" t="n">
        <f aca="false">D41*F19/1000*D15</f>
        <v>23241.0539196</v>
      </c>
      <c r="H41" s="62" t="s">
        <v>53</v>
      </c>
      <c r="I41" s="64" t="n">
        <f aca="false">D41*F19/1000</f>
        <v>3339.231885</v>
      </c>
      <c r="J41" s="79" t="s">
        <v>42</v>
      </c>
      <c r="L41" s="88"/>
    </row>
    <row r="42" customFormat="false" ht="13.8" hidden="false" customHeight="false" outlineLevel="0" collapsed="false">
      <c r="B42" s="63" t="s">
        <v>84</v>
      </c>
      <c r="C42" s="63"/>
      <c r="D42" s="62" t="n">
        <v>100</v>
      </c>
      <c r="E42" s="62" t="s">
        <v>42</v>
      </c>
      <c r="G42" s="113" t="n">
        <f aca="false">D42*D15</f>
        <v>696</v>
      </c>
      <c r="H42" s="62" t="s">
        <v>53</v>
      </c>
      <c r="I42" s="113" t="n">
        <f aca="false">D42</f>
        <v>100</v>
      </c>
      <c r="J42" s="79" t="s">
        <v>42</v>
      </c>
    </row>
    <row r="43" customFormat="false" ht="13.8" hidden="false" customHeight="false" outlineLevel="0" collapsed="false">
      <c r="B43" s="63" t="s">
        <v>85</v>
      </c>
      <c r="C43" s="63"/>
      <c r="D43" s="62" t="n">
        <v>20</v>
      </c>
      <c r="E43" s="62" t="s">
        <v>83</v>
      </c>
      <c r="G43" s="64" t="n">
        <f aca="false">D43*F19/1000*D15</f>
        <v>3098.80718928</v>
      </c>
      <c r="H43" s="62" t="s">
        <v>53</v>
      </c>
      <c r="I43" s="64" t="n">
        <f aca="false">D43*F19/1000</f>
        <v>445.230918</v>
      </c>
      <c r="J43" s="79" t="s">
        <v>42</v>
      </c>
    </row>
    <row r="44" customFormat="false" ht="13.8" hidden="false" customHeight="false" outlineLevel="0" collapsed="false">
      <c r="B44" s="68" t="s">
        <v>86</v>
      </c>
      <c r="C44" s="68"/>
      <c r="D44" s="81" t="n">
        <v>220</v>
      </c>
      <c r="E44" s="81" t="s">
        <v>83</v>
      </c>
      <c r="F44" s="42"/>
      <c r="G44" s="69" t="n">
        <f aca="false">D44*F19/1000*D15</f>
        <v>34086.87908208</v>
      </c>
      <c r="H44" s="81" t="s">
        <v>53</v>
      </c>
      <c r="I44" s="69" t="n">
        <f aca="false">D44*F19/1000</f>
        <v>4897.540098</v>
      </c>
      <c r="J44" s="85" t="s">
        <v>42</v>
      </c>
    </row>
    <row r="45" customFormat="false" ht="13.8" hidden="false" customHeight="false" outlineLevel="0" collapsed="false">
      <c r="B45" s="119" t="s">
        <v>25</v>
      </c>
      <c r="C45" s="119"/>
      <c r="D45" s="119"/>
      <c r="E45" s="119"/>
      <c r="F45" s="119"/>
      <c r="G45" s="90" t="n">
        <f aca="false">SUM(G41:G44)</f>
        <v>61122.74019096</v>
      </c>
      <c r="H45" s="98" t="s">
        <v>53</v>
      </c>
      <c r="I45" s="120" t="n">
        <f aca="false">G45/D15</f>
        <v>8782.002901</v>
      </c>
      <c r="J45" s="121" t="s">
        <v>42</v>
      </c>
    </row>
    <row r="46" customFormat="false" ht="13.8" hidden="false" customHeight="false" outlineLevel="0" collapsed="false">
      <c r="B46" s="73" t="s">
        <v>44</v>
      </c>
      <c r="C46" s="73"/>
      <c r="D46" s="73"/>
      <c r="E46" s="73"/>
      <c r="F46" s="73"/>
      <c r="G46" s="54"/>
      <c r="H46" s="8"/>
      <c r="I46" s="8"/>
      <c r="J46" s="9"/>
    </row>
    <row r="47" customFormat="false" ht="13.8" hidden="false" customHeight="false" outlineLevel="0" collapsed="false">
      <c r="B47" s="63" t="s">
        <v>87</v>
      </c>
      <c r="C47" s="63"/>
      <c r="D47" s="87" t="n">
        <f aca="false">D38-I45</f>
        <v>2562.76039804297</v>
      </c>
      <c r="E47" s="62" t="s">
        <v>42</v>
      </c>
      <c r="F47" s="65"/>
      <c r="G47" s="78" t="s">
        <v>87</v>
      </c>
      <c r="H47" s="78"/>
      <c r="I47" s="64" t="n">
        <f aca="false">I39*F19/1000</f>
        <v>2562.76039804297</v>
      </c>
      <c r="J47" s="79" t="s">
        <v>42</v>
      </c>
    </row>
    <row r="48" customFormat="false" ht="13.8" hidden="false" customHeight="false" outlineLevel="0" collapsed="false">
      <c r="B48" s="68" t="s">
        <v>87</v>
      </c>
      <c r="C48" s="68"/>
      <c r="D48" s="80" t="n">
        <f aca="false">D39-G45</f>
        <v>17836.8123703791</v>
      </c>
      <c r="E48" s="81" t="s">
        <v>43</v>
      </c>
      <c r="F48" s="82"/>
      <c r="G48" s="83" t="s">
        <v>87</v>
      </c>
      <c r="H48" s="83"/>
      <c r="I48" s="84" t="n">
        <f aca="false">I47*D15</f>
        <v>17836.8123703791</v>
      </c>
      <c r="J48" s="85" t="s">
        <v>43</v>
      </c>
    </row>
    <row r="49" customFormat="false" ht="13.8" hidden="false" customHeight="false" outlineLevel="0" collapsed="false">
      <c r="B49" s="86" t="s">
        <v>50</v>
      </c>
      <c r="C49" s="86"/>
      <c r="D49" s="86"/>
      <c r="E49" s="86"/>
      <c r="F49" s="86"/>
      <c r="G49" s="8"/>
      <c r="H49" s="8"/>
      <c r="I49" s="8"/>
      <c r="J49" s="9"/>
    </row>
    <row r="50" customFormat="false" ht="13.8" hidden="false" customHeight="false" outlineLevel="0" collapsed="false">
      <c r="B50" s="63" t="s">
        <v>51</v>
      </c>
      <c r="C50" s="63"/>
      <c r="D50" s="62"/>
      <c r="E50" s="62"/>
      <c r="F50" s="62"/>
      <c r="G50" s="87" t="n">
        <f aca="false">I30</f>
        <v>2594.32478492387</v>
      </c>
      <c r="H50" s="62" t="s">
        <v>53</v>
      </c>
      <c r="I50" s="62"/>
      <c r="J50" s="79"/>
    </row>
    <row r="51" customFormat="false" ht="13.8" hidden="false" customHeight="false" outlineLevel="0" collapsed="false">
      <c r="B51" s="63" t="s">
        <v>88</v>
      </c>
      <c r="C51" s="63"/>
      <c r="D51" s="1" t="n">
        <v>1.8</v>
      </c>
      <c r="E51" s="1" t="s">
        <v>21</v>
      </c>
      <c r="G51" s="88" t="n">
        <f aca="false">D48*D51/100</f>
        <v>321.062622666824</v>
      </c>
      <c r="H51" s="62" t="s">
        <v>53</v>
      </c>
      <c r="J51" s="61"/>
    </row>
    <row r="52" customFormat="false" ht="13.8" hidden="false" customHeight="false" outlineLevel="0" collapsed="false">
      <c r="B52" s="63" t="s">
        <v>55</v>
      </c>
      <c r="C52" s="63"/>
      <c r="D52" s="1" t="n">
        <v>1</v>
      </c>
      <c r="G52" s="88" t="n">
        <f aca="false">D48*D52/100</f>
        <v>178.368123703791</v>
      </c>
      <c r="H52" s="62" t="s">
        <v>53</v>
      </c>
      <c r="J52" s="61"/>
    </row>
    <row r="53" customFormat="false" ht="13.8" hidden="false" customHeight="false" outlineLevel="0" collapsed="false">
      <c r="B53" s="63" t="s">
        <v>56</v>
      </c>
      <c r="C53" s="63"/>
      <c r="D53" s="1" t="n">
        <v>0.4</v>
      </c>
      <c r="G53" s="88" t="n">
        <f aca="false">D48*D53/100</f>
        <v>71.3472494815163</v>
      </c>
      <c r="H53" s="62" t="s">
        <v>53</v>
      </c>
      <c r="J53" s="61"/>
    </row>
    <row r="54" customFormat="false" ht="13.8" hidden="false" customHeight="false" outlineLevel="0" collapsed="false">
      <c r="B54" s="63"/>
      <c r="C54" s="96" t="s">
        <v>89</v>
      </c>
      <c r="D54" s="1" t="n">
        <v>0.5</v>
      </c>
      <c r="G54" s="88" t="n">
        <f aca="false">D48*D54/100</f>
        <v>89.1840618518954</v>
      </c>
      <c r="H54" s="62" t="s">
        <v>53</v>
      </c>
      <c r="J54" s="61"/>
    </row>
    <row r="55" customFormat="false" ht="13.8" hidden="false" customHeight="false" outlineLevel="0" collapsed="false">
      <c r="B55" s="68" t="s">
        <v>58</v>
      </c>
      <c r="C55" s="68"/>
      <c r="D55" s="42" t="n">
        <v>1.5</v>
      </c>
      <c r="E55" s="42" t="s">
        <v>21</v>
      </c>
      <c r="F55" s="42"/>
      <c r="G55" s="84" t="n">
        <f aca="false">D48*D55/100</f>
        <v>267.552185555686</v>
      </c>
      <c r="H55" s="62" t="s">
        <v>53</v>
      </c>
      <c r="I55" s="42"/>
      <c r="J55" s="43"/>
    </row>
    <row r="56" customFormat="false" ht="13.8" hidden="false" customHeight="false" outlineLevel="0" collapsed="false">
      <c r="B56" s="89" t="s">
        <v>25</v>
      </c>
      <c r="C56" s="89"/>
      <c r="D56" s="89"/>
      <c r="E56" s="89"/>
      <c r="F56" s="89"/>
      <c r="G56" s="90" t="n">
        <f aca="false">SUM(G50:G55)</f>
        <v>3521.83902818358</v>
      </c>
      <c r="H56" s="91" t="s">
        <v>53</v>
      </c>
      <c r="I56" s="42"/>
      <c r="J56" s="43"/>
    </row>
    <row r="57" customFormat="false" ht="13.8" hidden="false" customHeight="false" outlineLevel="0" collapsed="false">
      <c r="B57" s="86" t="s">
        <v>90</v>
      </c>
      <c r="C57" s="86"/>
      <c r="D57" s="86"/>
      <c r="E57" s="86"/>
      <c r="F57" s="86"/>
      <c r="G57" s="8"/>
      <c r="H57" s="8"/>
      <c r="I57" s="8"/>
      <c r="J57" s="9"/>
    </row>
    <row r="58" customFormat="false" ht="13.8" hidden="false" customHeight="false" outlineLevel="0" collapsed="false">
      <c r="B58" s="63" t="s">
        <v>91</v>
      </c>
      <c r="C58" s="63"/>
      <c r="D58" s="62" t="n">
        <v>1</v>
      </c>
      <c r="E58" s="62" t="s">
        <v>21</v>
      </c>
      <c r="F58" s="62"/>
      <c r="G58" s="87" t="n">
        <f aca="false">D48*D58/100</f>
        <v>178.368123703791</v>
      </c>
      <c r="H58" s="62" t="s">
        <v>53</v>
      </c>
      <c r="I58" s="62"/>
      <c r="J58" s="79"/>
    </row>
    <row r="59" customFormat="false" ht="13.8" hidden="false" customHeight="false" outlineLevel="0" collapsed="false">
      <c r="B59" s="68"/>
      <c r="C59" s="68"/>
      <c r="D59" s="42"/>
      <c r="E59" s="42" t="s">
        <v>21</v>
      </c>
      <c r="F59" s="42"/>
      <c r="G59" s="42"/>
      <c r="H59" s="42"/>
      <c r="I59" s="42"/>
      <c r="J59" s="43"/>
    </row>
    <row r="60" customFormat="false" ht="13.8" hidden="false" customHeight="false" outlineLevel="0" collapsed="false">
      <c r="B60" s="89" t="s">
        <v>25</v>
      </c>
      <c r="C60" s="89"/>
      <c r="D60" s="89"/>
      <c r="E60" s="89"/>
      <c r="F60" s="89"/>
      <c r="G60" s="90" t="n">
        <f aca="false">SUM(G58:G59)</f>
        <v>178.368123703791</v>
      </c>
      <c r="H60" s="122" t="s">
        <v>53</v>
      </c>
      <c r="I60" s="42"/>
      <c r="J60" s="43"/>
    </row>
    <row r="61" customFormat="false" ht="5.4" hidden="false" customHeight="true" outlineLevel="0" collapsed="false">
      <c r="B61" s="86"/>
      <c r="C61" s="86"/>
      <c r="D61" s="86"/>
      <c r="E61" s="86"/>
      <c r="F61" s="86"/>
      <c r="G61" s="8"/>
      <c r="H61" s="8"/>
      <c r="I61" s="8"/>
      <c r="J61" s="9"/>
    </row>
    <row r="62" customFormat="false" ht="13.8" hidden="false" customHeight="false" outlineLevel="0" collapsed="false">
      <c r="B62" s="92" t="s">
        <v>59</v>
      </c>
      <c r="C62" s="92"/>
      <c r="D62" s="92"/>
      <c r="E62" s="92"/>
      <c r="F62" s="93"/>
      <c r="G62" s="93"/>
      <c r="H62" s="94"/>
      <c r="I62" s="95" t="n">
        <f aca="false">D48-G56-G60</f>
        <v>14136.6052184917</v>
      </c>
      <c r="J62" s="79" t="s">
        <v>43</v>
      </c>
    </row>
    <row r="63" customFormat="false" ht="5.4" hidden="false" customHeight="true" outlineLevel="0" collapsed="false">
      <c r="B63" s="68"/>
      <c r="C63" s="68"/>
      <c r="D63" s="42"/>
      <c r="E63" s="42"/>
      <c r="F63" s="42"/>
      <c r="G63" s="42"/>
      <c r="H63" s="42"/>
      <c r="I63" s="42"/>
      <c r="J63" s="43"/>
    </row>
    <row r="64" customFormat="false" ht="13.8" hidden="false" customHeight="false" outlineLevel="0" collapsed="false">
      <c r="B64" s="86" t="s">
        <v>60</v>
      </c>
      <c r="C64" s="86"/>
      <c r="D64" s="86"/>
      <c r="E64" s="86"/>
      <c r="F64" s="86"/>
      <c r="G64" s="8"/>
      <c r="H64" s="8"/>
      <c r="I64" s="8"/>
      <c r="J64" s="9"/>
    </row>
    <row r="65" customFormat="false" ht="13.8" hidden="false" customHeight="false" outlineLevel="0" collapsed="false">
      <c r="B65" s="63" t="s">
        <v>61</v>
      </c>
      <c r="C65" s="63"/>
      <c r="D65" s="62" t="n">
        <v>0</v>
      </c>
      <c r="E65" s="62" t="s">
        <v>43</v>
      </c>
      <c r="F65" s="62"/>
      <c r="G65" s="62"/>
      <c r="H65" s="62"/>
      <c r="I65" s="62"/>
      <c r="J65" s="79"/>
    </row>
    <row r="66" customFormat="false" ht="13.8" hidden="false" customHeight="false" outlineLevel="0" collapsed="false">
      <c r="B66" s="68" t="s">
        <v>63</v>
      </c>
      <c r="C66" s="68"/>
      <c r="D66" s="81" t="n">
        <v>0</v>
      </c>
      <c r="E66" s="81" t="s">
        <v>43</v>
      </c>
      <c r="F66" s="62"/>
      <c r="G66" s="62"/>
      <c r="H66" s="62"/>
      <c r="I66" s="62"/>
      <c r="J66" s="79"/>
    </row>
    <row r="67" customFormat="false" ht="13.8" hidden="false" customHeight="false" outlineLevel="0" collapsed="false">
      <c r="B67" s="97" t="s">
        <v>25</v>
      </c>
      <c r="C67" s="97"/>
      <c r="D67" s="98" t="n">
        <f aca="false">SUM(D65:D66)</f>
        <v>0</v>
      </c>
      <c r="E67" s="98" t="s">
        <v>43</v>
      </c>
      <c r="F67" s="42"/>
      <c r="G67" s="42"/>
      <c r="H67" s="42"/>
      <c r="I67" s="42"/>
      <c r="J67" s="43"/>
    </row>
    <row r="68" customFormat="false" ht="9.6" hidden="false" customHeight="true" outlineLevel="0" collapsed="false">
      <c r="B68" s="86"/>
      <c r="C68" s="86"/>
      <c r="D68" s="86"/>
      <c r="E68" s="86"/>
      <c r="F68" s="86"/>
      <c r="G68" s="8"/>
      <c r="H68" s="8"/>
      <c r="I68" s="8"/>
      <c r="J68" s="9"/>
    </row>
    <row r="69" customFormat="false" ht="13.8" hidden="false" customHeight="false" outlineLevel="0" collapsed="false">
      <c r="B69" s="92" t="s">
        <v>68</v>
      </c>
      <c r="C69" s="92"/>
      <c r="D69" s="92"/>
      <c r="E69" s="92"/>
      <c r="F69" s="93"/>
      <c r="G69" s="93"/>
      <c r="H69" s="94"/>
      <c r="I69" s="95" t="n">
        <f aca="false">I62+D67</f>
        <v>14136.6052184917</v>
      </c>
      <c r="J69" s="79" t="s">
        <v>43</v>
      </c>
    </row>
    <row r="70" customFormat="false" ht="7.2" hidden="false" customHeight="true" outlineLevel="0" collapsed="false">
      <c r="B70" s="63"/>
      <c r="C70" s="63"/>
      <c r="J70" s="61"/>
    </row>
    <row r="71" customFormat="false" ht="5.4" hidden="false" customHeight="true" outlineLevel="0" collapsed="false">
      <c r="B71" s="100"/>
      <c r="C71" s="8"/>
      <c r="D71" s="8"/>
      <c r="E71" s="8"/>
      <c r="F71" s="2"/>
      <c r="G71" s="3"/>
      <c r="H71" s="3"/>
      <c r="I71" s="3"/>
      <c r="J71" s="4"/>
    </row>
    <row r="72" customFormat="false" ht="18.6" hidden="false" customHeight="true" outlineLevel="0" collapsed="false">
      <c r="B72" s="101"/>
      <c r="C72" s="102"/>
      <c r="D72" s="102"/>
      <c r="E72" s="102"/>
      <c r="F72" s="103" t="s">
        <v>69</v>
      </c>
      <c r="G72" s="103"/>
      <c r="H72" s="104" t="n">
        <f aca="false">I69/D15/F19*1000</f>
        <v>91.23901136796</v>
      </c>
      <c r="I72" s="105" t="s">
        <v>46</v>
      </c>
      <c r="J72" s="106"/>
    </row>
    <row r="73" customFormat="false" ht="14.4" hidden="false" customHeight="false" outlineLevel="0" collapsed="false"/>
    <row r="74" customFormat="false" ht="13.8" hidden="false" customHeight="false" outlineLevel="0" collapsed="false">
      <c r="C74" s="107" t="s">
        <v>17</v>
      </c>
      <c r="D74" s="108"/>
      <c r="E74" s="108"/>
      <c r="F74" s="108"/>
      <c r="G74" s="108"/>
      <c r="H74" s="108"/>
      <c r="I74" s="109"/>
    </row>
    <row r="75" customFormat="false" ht="14.4" hidden="false" customHeight="false" outlineLevel="0" collapsed="false">
      <c r="C75" s="110" t="s">
        <v>70</v>
      </c>
      <c r="D75" s="111"/>
      <c r="E75" s="111"/>
      <c r="F75" s="111"/>
      <c r="G75" s="111"/>
      <c r="H75" s="111"/>
      <c r="I75" s="112"/>
    </row>
    <row r="76" customFormat="false" ht="13.8" hidden="false" customHeight="false" outlineLevel="0" collapsed="false">
      <c r="D76" s="113"/>
      <c r="E76" s="113"/>
      <c r="F76" s="113"/>
      <c r="G76" s="113"/>
      <c r="H76" s="113"/>
      <c r="I76" s="113"/>
    </row>
  </sheetData>
  <mergeCells count="64">
    <mergeCell ref="B2:J2"/>
    <mergeCell ref="B3:J3"/>
    <mergeCell ref="B4:C4"/>
    <mergeCell ref="B5:C5"/>
    <mergeCell ref="D5:J5"/>
    <mergeCell ref="B6:C6"/>
    <mergeCell ref="D6:J6"/>
    <mergeCell ref="B7:C7"/>
    <mergeCell ref="D7:J7"/>
    <mergeCell ref="B8:C8"/>
    <mergeCell ref="B9:C9"/>
    <mergeCell ref="D9:J9"/>
    <mergeCell ref="B10:C10"/>
    <mergeCell ref="D10:J10"/>
    <mergeCell ref="B11:C11"/>
    <mergeCell ref="D11:J11"/>
    <mergeCell ref="B12:E12"/>
    <mergeCell ref="B13:C13"/>
    <mergeCell ref="D13:J13"/>
    <mergeCell ref="B14:C14"/>
    <mergeCell ref="B15:C15"/>
    <mergeCell ref="B16:C16"/>
    <mergeCell ref="D16:J16"/>
    <mergeCell ref="G22:I22"/>
    <mergeCell ref="F30:G30"/>
    <mergeCell ref="B33:C33"/>
    <mergeCell ref="B38:C38"/>
    <mergeCell ref="B39:C39"/>
    <mergeCell ref="G39:H39"/>
    <mergeCell ref="B40:F40"/>
    <mergeCell ref="B41:C41"/>
    <mergeCell ref="B42:C42"/>
    <mergeCell ref="B43:C43"/>
    <mergeCell ref="B44:C44"/>
    <mergeCell ref="B45:F45"/>
    <mergeCell ref="B46:F46"/>
    <mergeCell ref="B47:C47"/>
    <mergeCell ref="G47:H47"/>
    <mergeCell ref="B48:C48"/>
    <mergeCell ref="G48:H48"/>
    <mergeCell ref="B49:F49"/>
    <mergeCell ref="B50:C50"/>
    <mergeCell ref="B51:C51"/>
    <mergeCell ref="B52:C52"/>
    <mergeCell ref="B53:C53"/>
    <mergeCell ref="B55:C55"/>
    <mergeCell ref="B56:F56"/>
    <mergeCell ref="B57:F57"/>
    <mergeCell ref="B58:C58"/>
    <mergeCell ref="B59:C59"/>
    <mergeCell ref="B60:F60"/>
    <mergeCell ref="B61:F61"/>
    <mergeCell ref="B62:E62"/>
    <mergeCell ref="F62:G62"/>
    <mergeCell ref="B63:C63"/>
    <mergeCell ref="B64:F64"/>
    <mergeCell ref="B65:C65"/>
    <mergeCell ref="B66:C66"/>
    <mergeCell ref="B67:C67"/>
    <mergeCell ref="B68:F68"/>
    <mergeCell ref="B69:E69"/>
    <mergeCell ref="F69:G69"/>
    <mergeCell ref="B70:C70"/>
    <mergeCell ref="F72:G7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L1048576"/>
  <sheetViews>
    <sheetView showFormulas="false" showGridLines="true" showRowColHeaders="true" showZeros="true" rightToLeft="false" tabSelected="true" showOutlineSymbols="true" defaultGridColor="true" view="normal" topLeftCell="A7" colorId="64" zoomScale="160" zoomScaleNormal="160" zoomScalePageLayoutView="100" workbookViewId="0">
      <selection pane="topLeft" activeCell="E33" activeCellId="0" sqref="E33"/>
    </sheetView>
  </sheetViews>
  <sheetFormatPr defaultRowHeight="13.8" zeroHeight="false" outlineLevelRow="0" outlineLevelCol="0"/>
  <cols>
    <col collapsed="false" customWidth="true" hidden="false" outlineLevel="0" max="1" min="1" style="1" width="1.89"/>
    <col collapsed="false" customWidth="true" hidden="false" outlineLevel="0" max="1025" min="2" style="1" width="11.57"/>
  </cols>
  <sheetData>
    <row r="1" customFormat="false" ht="8.4" hidden="false" customHeight="true" outlineLevel="0" collapsed="false">
      <c r="B1" s="2"/>
      <c r="C1" s="3"/>
      <c r="D1" s="3"/>
      <c r="E1" s="3"/>
      <c r="F1" s="3"/>
      <c r="G1" s="3"/>
      <c r="H1" s="3"/>
      <c r="I1" s="3"/>
      <c r="J1" s="4"/>
    </row>
    <row r="2" customFormat="false" ht="13.8" hidden="false" customHeight="false" outlineLevel="0" collapsed="false">
      <c r="B2" s="5" t="s">
        <v>0</v>
      </c>
      <c r="C2" s="5"/>
      <c r="D2" s="5"/>
      <c r="E2" s="5"/>
      <c r="F2" s="5"/>
      <c r="G2" s="5"/>
      <c r="H2" s="5"/>
      <c r="I2" s="5"/>
      <c r="J2" s="5"/>
    </row>
    <row r="3" customFormat="false" ht="13.8" hidden="false" customHeight="false" outlineLevel="0" collapsed="false">
      <c r="B3" s="6" t="s">
        <v>1</v>
      </c>
      <c r="C3" s="6"/>
      <c r="D3" s="6"/>
      <c r="E3" s="6"/>
      <c r="F3" s="6"/>
      <c r="G3" s="6"/>
      <c r="H3" s="6"/>
      <c r="I3" s="6"/>
      <c r="J3" s="6"/>
    </row>
    <row r="4" customFormat="false" ht="13.2" hidden="false" customHeight="true" outlineLevel="0" collapsed="false">
      <c r="B4" s="7" t="s">
        <v>2</v>
      </c>
      <c r="C4" s="7"/>
      <c r="D4" s="8"/>
      <c r="E4" s="8"/>
      <c r="F4" s="8"/>
      <c r="G4" s="8"/>
      <c r="H4" s="8"/>
      <c r="I4" s="8"/>
      <c r="J4" s="9"/>
    </row>
    <row r="5" s="10" customFormat="true" ht="13.2" hidden="false" customHeight="true" outlineLevel="0" collapsed="false">
      <c r="B5" s="11" t="s">
        <v>3</v>
      </c>
      <c r="C5" s="11"/>
      <c r="D5" s="12"/>
      <c r="E5" s="12"/>
      <c r="F5" s="12"/>
      <c r="G5" s="12"/>
      <c r="H5" s="12"/>
      <c r="I5" s="12"/>
      <c r="J5" s="12"/>
    </row>
    <row r="6" s="10" customFormat="true" ht="13.2" hidden="false" customHeight="true" outlineLevel="0" collapsed="false">
      <c r="B6" s="11" t="s">
        <v>4</v>
      </c>
      <c r="C6" s="11"/>
      <c r="D6" s="12"/>
      <c r="E6" s="12"/>
      <c r="F6" s="12"/>
      <c r="G6" s="12"/>
      <c r="H6" s="12"/>
      <c r="I6" s="12"/>
      <c r="J6" s="12"/>
    </row>
    <row r="7" s="10" customFormat="true" ht="13.2" hidden="false" customHeight="true" outlineLevel="0" collapsed="false">
      <c r="B7" s="13" t="s">
        <v>5</v>
      </c>
      <c r="C7" s="13"/>
      <c r="D7" s="14"/>
      <c r="E7" s="14"/>
      <c r="F7" s="14"/>
      <c r="G7" s="14"/>
      <c r="H7" s="14"/>
      <c r="I7" s="14"/>
      <c r="J7" s="14"/>
    </row>
    <row r="8" customFormat="false" ht="13.2" hidden="false" customHeight="true" outlineLevel="0" collapsed="false">
      <c r="B8" s="7" t="s">
        <v>6</v>
      </c>
      <c r="C8" s="7"/>
      <c r="D8" s="7"/>
      <c r="E8" s="7"/>
      <c r="F8" s="8"/>
      <c r="G8" s="8"/>
      <c r="H8" s="8"/>
      <c r="I8" s="8"/>
      <c r="J8" s="9"/>
    </row>
    <row r="9" s="10" customFormat="true" ht="13.2" hidden="false" customHeight="true" outlineLevel="0" collapsed="false">
      <c r="B9" s="15" t="s">
        <v>7</v>
      </c>
      <c r="C9" s="15"/>
      <c r="D9" s="12"/>
      <c r="E9" s="12"/>
      <c r="F9" s="12"/>
      <c r="G9" s="12"/>
      <c r="H9" s="12"/>
      <c r="I9" s="12"/>
      <c r="J9" s="12"/>
    </row>
    <row r="10" s="10" customFormat="true" ht="13.2" hidden="false" customHeight="true" outlineLevel="0" collapsed="false">
      <c r="B10" s="15" t="s">
        <v>8</v>
      </c>
      <c r="C10" s="15"/>
      <c r="D10" s="16" t="n">
        <v>45881</v>
      </c>
      <c r="E10" s="17"/>
      <c r="F10" s="17"/>
      <c r="G10" s="17"/>
      <c r="H10" s="17"/>
      <c r="I10" s="17"/>
      <c r="J10" s="12"/>
    </row>
    <row r="11" s="10" customFormat="true" ht="13.2" hidden="false" customHeight="true" outlineLevel="0" collapsed="false">
      <c r="B11" s="15" t="s">
        <v>9</v>
      </c>
      <c r="C11" s="15"/>
      <c r="D11" s="10" t="n">
        <v>6.96</v>
      </c>
      <c r="F11" s="10" t="s">
        <v>92</v>
      </c>
      <c r="G11" s="10" t="n">
        <v>10</v>
      </c>
      <c r="J11" s="18"/>
    </row>
    <row r="12" s="10" customFormat="true" ht="7.2" hidden="false" customHeight="true" outlineLevel="0" collapsed="false">
      <c r="B12" s="13"/>
      <c r="C12" s="13"/>
      <c r="D12" s="14"/>
      <c r="E12" s="14"/>
      <c r="F12" s="14"/>
      <c r="G12" s="14"/>
      <c r="H12" s="14"/>
      <c r="I12" s="14"/>
      <c r="J12" s="14"/>
    </row>
    <row r="13" customFormat="false" ht="13.8" hidden="false" customHeight="false" outlineLevel="0" collapsed="false">
      <c r="B13" s="19" t="s">
        <v>10</v>
      </c>
      <c r="C13" s="20"/>
      <c r="D13" s="8"/>
      <c r="E13" s="8"/>
      <c r="F13" s="8"/>
      <c r="G13" s="8"/>
      <c r="H13" s="8"/>
      <c r="I13" s="8"/>
      <c r="J13" s="9"/>
    </row>
    <row r="14" s="21" customFormat="true" ht="21.6" hidden="false" customHeight="true" outlineLevel="0" collapsed="false">
      <c r="B14" s="22" t="s">
        <v>11</v>
      </c>
      <c r="C14" s="23" t="s">
        <v>12</v>
      </c>
      <c r="D14" s="23" t="s">
        <v>13</v>
      </c>
      <c r="E14" s="23" t="s">
        <v>14</v>
      </c>
      <c r="F14" s="23" t="s">
        <v>15</v>
      </c>
      <c r="G14" s="23" t="s">
        <v>16</v>
      </c>
      <c r="H14" s="23" t="s">
        <v>17</v>
      </c>
      <c r="I14" s="23" t="s">
        <v>18</v>
      </c>
      <c r="J14" s="24" t="s">
        <v>19</v>
      </c>
    </row>
    <row r="15" customFormat="false" ht="12.6" hidden="false" customHeight="true" outlineLevel="0" collapsed="false">
      <c r="B15" s="25" t="n">
        <v>6100</v>
      </c>
      <c r="C15" s="26" t="n">
        <v>0</v>
      </c>
      <c r="D15" s="26" t="n">
        <v>2.3</v>
      </c>
      <c r="E15" s="26" t="n">
        <v>1</v>
      </c>
      <c r="F15" s="27" t="n">
        <f aca="false">(B15-C15)*(1-D15/100)*(1-E15/100)</f>
        <v>5900.103</v>
      </c>
      <c r="G15" s="28" t="s">
        <v>20</v>
      </c>
      <c r="H15" s="29" t="n">
        <v>11</v>
      </c>
      <c r="I15" s="30" t="s">
        <v>21</v>
      </c>
      <c r="J15" s="31" t="n">
        <f aca="false">F15*H15/100</f>
        <v>649.01133</v>
      </c>
    </row>
    <row r="16" customFormat="false" ht="12.6" hidden="false" customHeight="true" outlineLevel="0" collapsed="false">
      <c r="B16" s="32"/>
      <c r="C16" s="33"/>
      <c r="D16" s="33"/>
      <c r="E16" s="33"/>
      <c r="F16" s="33"/>
      <c r="G16" s="28" t="s">
        <v>22</v>
      </c>
      <c r="H16" s="29" t="n">
        <v>22</v>
      </c>
      <c r="I16" s="30" t="s">
        <v>21</v>
      </c>
      <c r="J16" s="31" t="n">
        <f aca="false">F15*H16/100</f>
        <v>1298.02266</v>
      </c>
    </row>
    <row r="17" customFormat="false" ht="12" hidden="false" customHeight="true" outlineLevel="0" collapsed="false">
      <c r="B17" s="32"/>
      <c r="G17" s="34" t="s">
        <v>23</v>
      </c>
      <c r="H17" s="123" t="n">
        <v>33</v>
      </c>
      <c r="I17" s="36" t="s">
        <v>24</v>
      </c>
      <c r="J17" s="37" t="n">
        <f aca="false">F15/1000*H17*100/1000</f>
        <v>19.4703399</v>
      </c>
    </row>
    <row r="18" customFormat="false" ht="13.8" hidden="false" customHeight="false" outlineLevel="0" collapsed="false">
      <c r="B18" s="38"/>
      <c r="G18" s="39" t="s">
        <v>25</v>
      </c>
      <c r="H18" s="39"/>
      <c r="I18" s="39"/>
      <c r="J18" s="40" t="n">
        <f aca="false">SUM(J15:J17)</f>
        <v>1966.5043299</v>
      </c>
    </row>
    <row r="19" customFormat="false" ht="5.4" hidden="false" customHeight="true" outlineLevel="0" collapsed="false">
      <c r="B19" s="41"/>
      <c r="C19" s="42"/>
      <c r="D19" s="42"/>
      <c r="E19" s="42"/>
      <c r="F19" s="42"/>
      <c r="G19" s="42"/>
      <c r="H19" s="42"/>
      <c r="I19" s="42"/>
      <c r="J19" s="43"/>
    </row>
    <row r="20" customFormat="false" ht="13.8" hidden="false" customHeight="false" outlineLevel="0" collapsed="false">
      <c r="B20" s="19" t="s">
        <v>26</v>
      </c>
      <c r="C20" s="20"/>
      <c r="D20" s="8"/>
      <c r="E20" s="8"/>
      <c r="F20" s="8"/>
      <c r="G20" s="8"/>
      <c r="H20" s="8"/>
      <c r="I20" s="8"/>
      <c r="J20" s="9"/>
    </row>
    <row r="21" customFormat="false" ht="8.4" hidden="false" customHeight="true" outlineLevel="0" collapsed="false">
      <c r="B21" s="38"/>
      <c r="H21" s="33"/>
      <c r="I21" s="33"/>
      <c r="J21" s="44"/>
    </row>
    <row r="22" customFormat="false" ht="13.8" hidden="false" customHeight="false" outlineLevel="0" collapsed="false">
      <c r="B22" s="38"/>
      <c r="C22" s="45" t="s">
        <v>16</v>
      </c>
      <c r="D22" s="23" t="s">
        <v>27</v>
      </c>
      <c r="E22" s="23" t="s">
        <v>28</v>
      </c>
      <c r="F22" s="23" t="s">
        <v>29</v>
      </c>
      <c r="G22" s="23" t="s">
        <v>30</v>
      </c>
      <c r="H22" s="23" t="s">
        <v>31</v>
      </c>
      <c r="I22" s="23" t="s">
        <v>32</v>
      </c>
      <c r="J22" s="23" t="s">
        <v>33</v>
      </c>
    </row>
    <row r="23" customFormat="false" ht="13.8" hidden="false" customHeight="false" outlineLevel="0" collapsed="false">
      <c r="B23" s="38"/>
      <c r="C23" s="28" t="s">
        <v>20</v>
      </c>
      <c r="D23" s="46" t="n">
        <v>1.6</v>
      </c>
      <c r="E23" s="47" t="s">
        <v>34</v>
      </c>
      <c r="F23" s="48" t="n">
        <f aca="false">J15/1000*2204.6223*D23</f>
        <v>2289.31976171305</v>
      </c>
      <c r="G23" s="49" t="n">
        <f aca="false">F23*D$11</f>
        <v>15933.6655415229</v>
      </c>
      <c r="H23" s="46" t="n">
        <v>3</v>
      </c>
      <c r="I23" s="48" t="n">
        <f aca="false">F23*H23/100</f>
        <v>68.6795928513916</v>
      </c>
      <c r="J23" s="48" t="n">
        <f aca="false">I23*D$11</f>
        <v>478.009966245686</v>
      </c>
      <c r="K23" s="50" t="n">
        <f aca="false">G23*H23/100</f>
        <v>478.009966245686</v>
      </c>
    </row>
    <row r="24" customFormat="false" ht="13.8" hidden="false" customHeight="false" outlineLevel="0" collapsed="false">
      <c r="B24" s="38"/>
      <c r="C24" s="28" t="s">
        <v>22</v>
      </c>
      <c r="D24" s="46" t="n">
        <v>0.9</v>
      </c>
      <c r="E24" s="47" t="s">
        <v>35</v>
      </c>
      <c r="F24" s="48" t="n">
        <f aca="false">J16/1000*2204.6223*D24</f>
        <v>2575.48473192719</v>
      </c>
      <c r="G24" s="49" t="n">
        <f aca="false">F24*D$11</f>
        <v>17925.3737342132</v>
      </c>
      <c r="H24" s="46" t="n">
        <v>3</v>
      </c>
      <c r="I24" s="48" t="n">
        <f aca="false">F24*H24/100</f>
        <v>77.2645419578156</v>
      </c>
      <c r="J24" s="48" t="n">
        <f aca="false">I24*D$11</f>
        <v>537.761212026397</v>
      </c>
      <c r="K24" s="50" t="n">
        <f aca="false">G24*H24/100</f>
        <v>537.761212026397</v>
      </c>
    </row>
    <row r="25" customFormat="false" ht="13.8" hidden="false" customHeight="false" outlineLevel="0" collapsed="false">
      <c r="B25" s="38"/>
      <c r="C25" s="34" t="s">
        <v>23</v>
      </c>
      <c r="D25" s="46" t="n">
        <v>75.27</v>
      </c>
      <c r="E25" s="47" t="s">
        <v>36</v>
      </c>
      <c r="F25" s="48" t="n">
        <f aca="false">J17*1000/31.1035*D25</f>
        <v>47117.9283448165</v>
      </c>
      <c r="G25" s="49" t="n">
        <f aca="false">F25*D$11</f>
        <v>327940.781279923</v>
      </c>
      <c r="H25" s="46" t="n">
        <v>3.6</v>
      </c>
      <c r="I25" s="48" t="n">
        <f aca="false">F25*H25/100</f>
        <v>1696.24542041339</v>
      </c>
      <c r="J25" s="48" t="n">
        <f aca="false">I25*D$11</f>
        <v>11805.8681260772</v>
      </c>
      <c r="K25" s="50" t="n">
        <f aca="false">G25*H25/100</f>
        <v>11805.8681260772</v>
      </c>
    </row>
    <row r="26" customFormat="false" ht="13.8" hidden="false" customHeight="true" outlineLevel="0" collapsed="false">
      <c r="B26" s="38"/>
      <c r="E26" s="51" t="s">
        <v>25</v>
      </c>
      <c r="F26" s="124" t="n">
        <f aca="false">SUM(F23:F25)</f>
        <v>51982.7328384567</v>
      </c>
      <c r="G26" s="49" t="n">
        <f aca="false">SUM(G23:G25)</f>
        <v>361799.820555659</v>
      </c>
      <c r="H26" s="51"/>
      <c r="I26" s="52" t="n">
        <f aca="false">SUM(I23:I25)</f>
        <v>1842.1895552226</v>
      </c>
      <c r="J26" s="52" t="n">
        <f aca="false">SUM(J23:J25)</f>
        <v>12821.6393043493</v>
      </c>
      <c r="K26" s="50" t="n">
        <f aca="false">SUM(K23:K25)</f>
        <v>12821.6393043493</v>
      </c>
    </row>
    <row r="27" customFormat="false" ht="5.4" hidden="false" customHeight="true" outlineLevel="0" collapsed="false">
      <c r="B27" s="41"/>
      <c r="C27" s="42"/>
      <c r="D27" s="42"/>
      <c r="E27" s="42"/>
      <c r="F27" s="42"/>
      <c r="G27" s="42"/>
      <c r="H27" s="42"/>
      <c r="I27" s="42"/>
      <c r="J27" s="43"/>
    </row>
    <row r="28" customFormat="false" ht="13.8" hidden="false" customHeight="false" outlineLevel="0" collapsed="false">
      <c r="B28" s="19" t="s">
        <v>37</v>
      </c>
      <c r="C28" s="20"/>
      <c r="D28" s="8"/>
      <c r="E28" s="53"/>
      <c r="F28" s="54"/>
      <c r="G28" s="8"/>
      <c r="H28" s="8"/>
      <c r="I28" s="8"/>
      <c r="J28" s="9"/>
    </row>
    <row r="29" customFormat="false" ht="13.8" hidden="false" customHeight="false" outlineLevel="0" collapsed="false">
      <c r="B29" s="32" t="s">
        <v>38</v>
      </c>
      <c r="C29" s="32"/>
      <c r="D29" s="55"/>
      <c r="E29" s="56"/>
      <c r="F29" s="57"/>
      <c r="G29" s="33"/>
      <c r="H29" s="33"/>
      <c r="I29" s="33"/>
      <c r="J29" s="44"/>
    </row>
    <row r="30" customFormat="false" ht="13.8" hidden="false" customHeight="false" outlineLevel="0" collapsed="false">
      <c r="B30" s="58" t="s">
        <v>16</v>
      </c>
      <c r="C30" s="23" t="s">
        <v>39</v>
      </c>
      <c r="D30" s="23" t="s">
        <v>28</v>
      </c>
      <c r="E30" s="23" t="s">
        <v>40</v>
      </c>
      <c r="I30" s="33"/>
      <c r="J30" s="44"/>
    </row>
    <row r="31" customFormat="false" ht="13.8" hidden="false" customHeight="false" outlineLevel="0" collapsed="false">
      <c r="B31" s="59" t="s">
        <v>20</v>
      </c>
      <c r="C31" s="46" t="n">
        <v>1.2492</v>
      </c>
      <c r="D31" s="47" t="s">
        <v>34</v>
      </c>
      <c r="E31" s="48" t="n">
        <f aca="false">J15/1000*2204.6223*C31</f>
        <v>1787.38640395747</v>
      </c>
      <c r="I31" s="33"/>
      <c r="J31" s="44"/>
    </row>
    <row r="32" customFormat="false" ht="13.8" hidden="false" customHeight="false" outlineLevel="0" collapsed="false">
      <c r="B32" s="59" t="s">
        <v>22</v>
      </c>
      <c r="C32" s="46" t="n">
        <v>0.8702</v>
      </c>
      <c r="D32" s="47" t="s">
        <v>35</v>
      </c>
      <c r="E32" s="48" t="n">
        <f aca="false">J16/1000*2204.6223*C32</f>
        <v>2490.20757080337</v>
      </c>
      <c r="I32" s="33"/>
      <c r="J32" s="44"/>
    </row>
    <row r="33" customFormat="false" ht="14.4" hidden="false" customHeight="true" outlineLevel="0" collapsed="false">
      <c r="B33" s="60" t="s">
        <v>23</v>
      </c>
      <c r="C33" s="46" t="n">
        <v>37.35</v>
      </c>
      <c r="D33" s="47" t="s">
        <v>36</v>
      </c>
      <c r="E33" s="48" t="e">
        <f aca="false">J17*1000/31.1035*c33j17j17</f>
        <v>#NAME?</v>
      </c>
      <c r="J33" s="61"/>
    </row>
    <row r="34" s="62" customFormat="true" ht="19.8" hidden="false" customHeight="true" outlineLevel="0" collapsed="false">
      <c r="B34" s="63" t="s">
        <v>41</v>
      </c>
      <c r="C34" s="63"/>
      <c r="D34" s="64" t="e">
        <f aca="false">SUM(E31:E33)</f>
        <v>#NAME?</v>
      </c>
      <c r="E34" s="65" t="s">
        <v>42</v>
      </c>
      <c r="F34" s="66"/>
      <c r="H34" s="67"/>
      <c r="J34" s="44"/>
    </row>
    <row r="35" s="62" customFormat="true" ht="19.8" hidden="false" customHeight="true" outlineLevel="0" collapsed="false">
      <c r="B35" s="68" t="s">
        <v>41</v>
      </c>
      <c r="C35" s="68"/>
      <c r="D35" s="69" t="e">
        <f aca="false">D34*D11</f>
        <v>#NAME?</v>
      </c>
      <c r="E35" s="70" t="s">
        <v>43</v>
      </c>
      <c r="F35" s="71"/>
      <c r="G35" s="72"/>
      <c r="H35" s="72"/>
      <c r="I35" s="0"/>
      <c r="J35" s="0"/>
      <c r="L35" s="64"/>
    </row>
    <row r="36" customFormat="false" ht="13.8" hidden="false" customHeight="false" outlineLevel="0" collapsed="false">
      <c r="B36" s="73" t="s">
        <v>44</v>
      </c>
      <c r="C36" s="73"/>
      <c r="D36" s="73"/>
      <c r="E36" s="73"/>
      <c r="F36" s="73"/>
      <c r="G36" s="54"/>
      <c r="H36" s="8"/>
      <c r="I36" s="8"/>
      <c r="J36" s="9"/>
    </row>
    <row r="37" customFormat="false" ht="14.9" hidden="false" customHeight="false" outlineLevel="0" collapsed="false">
      <c r="B37" s="74" t="s">
        <v>45</v>
      </c>
      <c r="C37" s="74"/>
      <c r="D37" s="75" t="n">
        <v>2000</v>
      </c>
      <c r="E37" s="76" t="s">
        <v>46</v>
      </c>
      <c r="F37" s="77" t="s">
        <v>47</v>
      </c>
      <c r="G37" s="54"/>
      <c r="H37" s="8"/>
      <c r="I37" s="8"/>
      <c r="J37" s="9"/>
    </row>
    <row r="38" customFormat="false" ht="13.8" hidden="false" customHeight="false" outlineLevel="0" collapsed="false">
      <c r="B38" s="63" t="s">
        <v>48</v>
      </c>
      <c r="C38" s="63"/>
      <c r="D38" s="64" t="n">
        <f aca="false">D37*F15/1000</f>
        <v>11800.206</v>
      </c>
      <c r="E38" s="62" t="s">
        <v>49</v>
      </c>
      <c r="F38" s="65"/>
      <c r="G38" s="78"/>
      <c r="H38" s="78"/>
      <c r="I38" s="64"/>
      <c r="J38" s="79"/>
    </row>
    <row r="39" customFormat="false" ht="13.8" hidden="false" customHeight="false" outlineLevel="0" collapsed="false">
      <c r="B39" s="68" t="s">
        <v>48</v>
      </c>
      <c r="C39" s="68"/>
      <c r="D39" s="80" t="n">
        <f aca="false">D38*D11</f>
        <v>82129.43376</v>
      </c>
      <c r="E39" s="81" t="s">
        <v>43</v>
      </c>
      <c r="F39" s="82"/>
      <c r="G39" s="83"/>
      <c r="H39" s="83"/>
      <c r="I39" s="84"/>
      <c r="J39" s="85"/>
    </row>
    <row r="40" customFormat="false" ht="13.8" hidden="false" customHeight="false" outlineLevel="0" collapsed="false">
      <c r="B40" s="86" t="s">
        <v>50</v>
      </c>
      <c r="C40" s="86"/>
      <c r="D40" s="86"/>
      <c r="E40" s="86"/>
      <c r="F40" s="86"/>
      <c r="G40" s="8"/>
      <c r="H40" s="8"/>
      <c r="I40" s="8"/>
      <c r="J40" s="9"/>
    </row>
    <row r="41" customFormat="false" ht="13.8" hidden="false" customHeight="false" outlineLevel="0" collapsed="false">
      <c r="B41" s="63" t="s">
        <v>51</v>
      </c>
      <c r="C41" s="63"/>
      <c r="D41" s="62"/>
      <c r="E41" s="62"/>
      <c r="F41" s="62" t="s">
        <v>52</v>
      </c>
      <c r="G41" s="87" t="n">
        <f aca="false">J26</f>
        <v>12821.6393043493</v>
      </c>
      <c r="H41" s="62" t="s">
        <v>53</v>
      </c>
      <c r="I41" s="62"/>
      <c r="J41" s="79"/>
    </row>
    <row r="42" customFormat="false" ht="13.8" hidden="false" customHeight="false" outlineLevel="0" collapsed="false">
      <c r="B42" s="63" t="s">
        <v>54</v>
      </c>
      <c r="C42" s="63"/>
      <c r="D42" s="1" t="n">
        <v>1.8</v>
      </c>
      <c r="E42" s="1" t="s">
        <v>21</v>
      </c>
      <c r="F42" s="1" t="s">
        <v>52</v>
      </c>
      <c r="G42" s="88" t="n">
        <f aca="false">D39*D42/100</f>
        <v>1478.32980768</v>
      </c>
      <c r="H42" s="62" t="s">
        <v>53</v>
      </c>
      <c r="J42" s="61"/>
    </row>
    <row r="43" customFormat="false" ht="13.8" hidden="false" customHeight="false" outlineLevel="0" collapsed="false">
      <c r="B43" s="63" t="s">
        <v>55</v>
      </c>
      <c r="C43" s="63"/>
      <c r="D43" s="1" t="n">
        <v>1</v>
      </c>
      <c r="E43" s="1" t="s">
        <v>21</v>
      </c>
      <c r="F43" s="1" t="s">
        <v>52</v>
      </c>
      <c r="G43" s="88" t="n">
        <f aca="false">D39*D43/100</f>
        <v>821.2943376</v>
      </c>
      <c r="H43" s="62" t="s">
        <v>53</v>
      </c>
      <c r="J43" s="61"/>
    </row>
    <row r="44" customFormat="false" ht="13.8" hidden="false" customHeight="false" outlineLevel="0" collapsed="false">
      <c r="B44" s="63" t="s">
        <v>93</v>
      </c>
      <c r="C44" s="63"/>
      <c r="D44" s="1" t="n">
        <v>5</v>
      </c>
      <c r="E44" s="1" t="s">
        <v>21</v>
      </c>
      <c r="F44" s="1" t="s">
        <v>57</v>
      </c>
      <c r="G44" s="88" t="n">
        <f aca="false">D39*D44/100</f>
        <v>4106.471688</v>
      </c>
      <c r="H44" s="62" t="s">
        <v>53</v>
      </c>
      <c r="J44" s="61"/>
    </row>
    <row r="45" customFormat="false" ht="13.8" hidden="false" customHeight="false" outlineLevel="0" collapsed="false">
      <c r="B45" s="68" t="s">
        <v>94</v>
      </c>
      <c r="C45" s="68"/>
      <c r="D45" s="42" t="n">
        <v>1</v>
      </c>
      <c r="E45" s="42" t="s">
        <v>21</v>
      </c>
      <c r="F45" s="42" t="s">
        <v>57</v>
      </c>
      <c r="G45" s="84" t="n">
        <f aca="false">D39*D45/100</f>
        <v>821.2943376</v>
      </c>
      <c r="H45" s="62" t="s">
        <v>53</v>
      </c>
      <c r="J45" s="61"/>
    </row>
    <row r="46" customFormat="false" ht="13.8" hidden="false" customHeight="false" outlineLevel="0" collapsed="false">
      <c r="B46" s="63" t="s">
        <v>95</v>
      </c>
      <c r="C46" s="63"/>
      <c r="D46" s="1" t="n">
        <v>100</v>
      </c>
      <c r="E46" s="1" t="s">
        <v>96</v>
      </c>
      <c r="F46" s="1" t="s">
        <v>97</v>
      </c>
      <c r="G46" s="88" t="n">
        <f aca="false">D46</f>
        <v>100</v>
      </c>
      <c r="H46" s="62"/>
      <c r="J46" s="61"/>
    </row>
    <row r="47" customFormat="false" ht="13.8" hidden="false" customHeight="false" outlineLevel="0" collapsed="false">
      <c r="B47" s="68" t="s">
        <v>98</v>
      </c>
      <c r="C47" s="68"/>
      <c r="D47" s="42" t="n">
        <v>2</v>
      </c>
      <c r="E47" s="42" t="s">
        <v>96</v>
      </c>
      <c r="F47" s="42" t="s">
        <v>99</v>
      </c>
      <c r="G47" s="84" t="n">
        <f aca="false">D47*G11</f>
        <v>20</v>
      </c>
      <c r="H47" s="62" t="s">
        <v>53</v>
      </c>
      <c r="I47" s="42"/>
      <c r="J47" s="43"/>
    </row>
    <row r="48" customFormat="false" ht="13.8" hidden="false" customHeight="false" outlineLevel="0" collapsed="false">
      <c r="B48" s="89" t="s">
        <v>25</v>
      </c>
      <c r="C48" s="89"/>
      <c r="D48" s="89"/>
      <c r="E48" s="89"/>
      <c r="F48" s="89"/>
      <c r="G48" s="90" t="n">
        <f aca="false">SUM(G41:G47)</f>
        <v>20169.0294752293</v>
      </c>
      <c r="H48" s="91" t="s">
        <v>53</v>
      </c>
      <c r="I48" s="42"/>
      <c r="J48" s="43"/>
    </row>
    <row r="49" customFormat="false" ht="5.4" hidden="false" customHeight="true" outlineLevel="0" collapsed="false">
      <c r="B49" s="86"/>
      <c r="C49" s="86"/>
      <c r="D49" s="86"/>
      <c r="E49" s="86"/>
      <c r="F49" s="86"/>
      <c r="G49" s="8"/>
      <c r="H49" s="8"/>
      <c r="I49" s="8"/>
      <c r="J49" s="9"/>
    </row>
    <row r="50" customFormat="false" ht="13.8" hidden="false" customHeight="false" outlineLevel="0" collapsed="false">
      <c r="B50" s="92" t="s">
        <v>59</v>
      </c>
      <c r="C50" s="92"/>
      <c r="D50" s="92"/>
      <c r="E50" s="92"/>
      <c r="F50" s="93"/>
      <c r="G50" s="93"/>
      <c r="H50" s="94"/>
      <c r="I50" s="95" t="n">
        <f aca="false">D39-G48</f>
        <v>61960.4042847707</v>
      </c>
      <c r="J50" s="79" t="s">
        <v>43</v>
      </c>
    </row>
    <row r="51" customFormat="false" ht="5.4" hidden="false" customHeight="true" outlineLevel="0" collapsed="false">
      <c r="B51" s="68"/>
      <c r="C51" s="68"/>
      <c r="D51" s="42"/>
      <c r="E51" s="42"/>
      <c r="F51" s="42"/>
      <c r="G51" s="42"/>
      <c r="H51" s="42"/>
      <c r="I51" s="42"/>
      <c r="J51" s="43"/>
    </row>
    <row r="52" customFormat="false" ht="13.8" hidden="false" customHeight="false" outlineLevel="0" collapsed="false">
      <c r="B52" s="86" t="s">
        <v>60</v>
      </c>
      <c r="C52" s="86"/>
      <c r="D52" s="86"/>
      <c r="E52" s="86"/>
      <c r="F52" s="86"/>
      <c r="G52" s="8"/>
      <c r="H52" s="8"/>
      <c r="I52" s="8"/>
      <c r="J52" s="9"/>
    </row>
    <row r="53" customFormat="false" ht="13.8" hidden="false" customHeight="false" outlineLevel="0" collapsed="false">
      <c r="B53" s="63" t="s">
        <v>61</v>
      </c>
      <c r="C53" s="63"/>
      <c r="D53" s="62" t="n">
        <v>100</v>
      </c>
      <c r="E53" s="62" t="s">
        <v>43</v>
      </c>
      <c r="F53" s="62"/>
      <c r="G53" s="62"/>
      <c r="H53" s="62"/>
      <c r="I53" s="62"/>
      <c r="J53" s="79"/>
    </row>
    <row r="54" customFormat="false" ht="13.8" hidden="false" customHeight="false" outlineLevel="0" collapsed="false">
      <c r="B54" s="63"/>
      <c r="C54" s="96" t="s">
        <v>62</v>
      </c>
      <c r="D54" s="62" t="n">
        <v>200</v>
      </c>
      <c r="E54" s="62" t="s">
        <v>43</v>
      </c>
      <c r="F54" s="62"/>
      <c r="G54" s="62"/>
      <c r="H54" s="62"/>
      <c r="I54" s="62"/>
      <c r="J54" s="79"/>
    </row>
    <row r="55" customFormat="false" ht="13.8" hidden="false" customHeight="false" outlineLevel="0" collapsed="false">
      <c r="B55" s="68" t="s">
        <v>63</v>
      </c>
      <c r="C55" s="68"/>
      <c r="D55" s="81" t="n">
        <v>300</v>
      </c>
      <c r="E55" s="81" t="s">
        <v>43</v>
      </c>
      <c r="F55" s="62"/>
      <c r="G55" s="62"/>
      <c r="H55" s="62"/>
      <c r="I55" s="62"/>
      <c r="J55" s="79"/>
    </row>
    <row r="56" customFormat="false" ht="13.8" hidden="false" customHeight="false" outlineLevel="0" collapsed="false">
      <c r="B56" s="97" t="s">
        <v>25</v>
      </c>
      <c r="C56" s="97"/>
      <c r="D56" s="98" t="n">
        <f aca="false">SUM(D53:D55)</f>
        <v>600</v>
      </c>
      <c r="E56" s="98" t="s">
        <v>43</v>
      </c>
      <c r="F56" s="42"/>
      <c r="G56" s="42"/>
      <c r="H56" s="42"/>
      <c r="I56" s="42"/>
      <c r="J56" s="43"/>
    </row>
    <row r="57" customFormat="false" ht="13.8" hidden="false" customHeight="false" outlineLevel="0" collapsed="false">
      <c r="B57" s="97"/>
      <c r="C57" s="99"/>
      <c r="D57" s="98"/>
      <c r="E57" s="98"/>
      <c r="F57" s="42"/>
      <c r="G57" s="42"/>
      <c r="H57" s="42"/>
      <c r="I57" s="42"/>
      <c r="J57" s="43"/>
    </row>
    <row r="58" customFormat="false" ht="13.8" hidden="false" customHeight="false" outlineLevel="0" collapsed="false">
      <c r="B58" s="86" t="s">
        <v>64</v>
      </c>
      <c r="C58" s="86"/>
      <c r="D58" s="86"/>
      <c r="E58" s="86"/>
      <c r="F58" s="86"/>
      <c r="G58" s="8"/>
      <c r="H58" s="8"/>
      <c r="I58" s="8"/>
      <c r="J58" s="9"/>
    </row>
    <row r="59" customFormat="false" ht="13.8" hidden="false" customHeight="false" outlineLevel="0" collapsed="false">
      <c r="B59" s="63" t="s">
        <v>65</v>
      </c>
      <c r="C59" s="63"/>
      <c r="D59" s="62" t="n">
        <v>1200</v>
      </c>
      <c r="E59" s="62" t="s">
        <v>43</v>
      </c>
      <c r="F59" s="62"/>
      <c r="G59" s="62"/>
      <c r="H59" s="62"/>
      <c r="I59" s="62"/>
      <c r="J59" s="79"/>
    </row>
    <row r="60" customFormat="false" ht="13.8" hidden="false" customHeight="false" outlineLevel="0" collapsed="false">
      <c r="B60" s="63" t="s">
        <v>66</v>
      </c>
      <c r="C60" s="63"/>
      <c r="D60" s="62" t="n">
        <v>500</v>
      </c>
      <c r="E60" s="62" t="s">
        <v>43</v>
      </c>
      <c r="F60" s="62"/>
      <c r="G60" s="62"/>
      <c r="H60" s="62"/>
      <c r="I60" s="62"/>
      <c r="J60" s="79"/>
    </row>
    <row r="61" customFormat="false" ht="13.8" hidden="false" customHeight="false" outlineLevel="0" collapsed="false">
      <c r="B61" s="68" t="s">
        <v>67</v>
      </c>
      <c r="C61" s="68"/>
      <c r="D61" s="81" t="n">
        <v>0</v>
      </c>
      <c r="E61" s="81" t="s">
        <v>43</v>
      </c>
      <c r="F61" s="62"/>
      <c r="G61" s="62"/>
      <c r="H61" s="62"/>
      <c r="I61" s="62"/>
      <c r="J61" s="79"/>
    </row>
    <row r="62" customFormat="false" ht="13.8" hidden="false" customHeight="false" outlineLevel="0" collapsed="false">
      <c r="B62" s="97" t="s">
        <v>25</v>
      </c>
      <c r="C62" s="97"/>
      <c r="D62" s="98" t="n">
        <f aca="false">SUM(D59:D61)</f>
        <v>1700</v>
      </c>
      <c r="E62" s="98" t="s">
        <v>43</v>
      </c>
      <c r="F62" s="62"/>
      <c r="G62" s="62"/>
      <c r="H62" s="62"/>
      <c r="I62" s="62"/>
      <c r="J62" s="79"/>
    </row>
    <row r="63" customFormat="false" ht="9.6" hidden="false" customHeight="true" outlineLevel="0" collapsed="false">
      <c r="B63" s="86"/>
      <c r="C63" s="86"/>
      <c r="D63" s="86"/>
      <c r="E63" s="86"/>
      <c r="F63" s="86"/>
      <c r="G63" s="8"/>
      <c r="H63" s="8"/>
      <c r="I63" s="8"/>
      <c r="J63" s="9"/>
    </row>
    <row r="64" customFormat="false" ht="13.8" hidden="false" customHeight="false" outlineLevel="0" collapsed="false">
      <c r="B64" s="92" t="s">
        <v>68</v>
      </c>
      <c r="C64" s="92"/>
      <c r="D64" s="92"/>
      <c r="E64" s="92"/>
      <c r="F64" s="93"/>
      <c r="G64" s="93"/>
      <c r="H64" s="94"/>
      <c r="I64" s="95" t="n">
        <f aca="false">I50+D56-D62</f>
        <v>60860.4042847707</v>
      </c>
      <c r="J64" s="79" t="s">
        <v>43</v>
      </c>
    </row>
    <row r="65" customFormat="false" ht="7.2" hidden="false" customHeight="true" outlineLevel="0" collapsed="false">
      <c r="B65" s="63"/>
      <c r="C65" s="63"/>
      <c r="J65" s="61"/>
    </row>
    <row r="66" customFormat="false" ht="5.4" hidden="false" customHeight="true" outlineLevel="0" collapsed="false">
      <c r="B66" s="100"/>
      <c r="C66" s="8"/>
      <c r="D66" s="8"/>
      <c r="E66" s="8"/>
      <c r="F66" s="2"/>
      <c r="G66" s="3"/>
      <c r="H66" s="3"/>
      <c r="I66" s="3"/>
      <c r="J66" s="4"/>
    </row>
    <row r="67" customFormat="false" ht="18.6" hidden="false" customHeight="true" outlineLevel="0" collapsed="false">
      <c r="B67" s="101"/>
      <c r="C67" s="102"/>
      <c r="D67" s="102"/>
      <c r="E67" s="102"/>
      <c r="F67" s="103" t="s">
        <v>69</v>
      </c>
      <c r="G67" s="103"/>
      <c r="H67" s="104" t="n">
        <f aca="false">I64/D11/F15*1000</f>
        <v>1482.06073020345</v>
      </c>
      <c r="I67" s="105" t="s">
        <v>46</v>
      </c>
      <c r="J67" s="106"/>
    </row>
    <row r="68" customFormat="false" ht="14.4" hidden="false" customHeight="false" outlineLevel="0" collapsed="false"/>
    <row r="69" customFormat="false" ht="13.8" hidden="false" customHeight="false" outlineLevel="0" collapsed="false">
      <c r="C69" s="107" t="s">
        <v>17</v>
      </c>
      <c r="D69" s="108"/>
      <c r="E69" s="108"/>
      <c r="F69" s="108"/>
      <c r="G69" s="108"/>
      <c r="H69" s="108"/>
      <c r="I69" s="109"/>
    </row>
    <row r="70" customFormat="false" ht="14.4" hidden="false" customHeight="false" outlineLevel="0" collapsed="false">
      <c r="C70" s="110" t="s">
        <v>70</v>
      </c>
      <c r="D70" s="111"/>
      <c r="E70" s="111"/>
      <c r="F70" s="111"/>
      <c r="G70" s="111"/>
      <c r="H70" s="111"/>
      <c r="I70" s="112"/>
    </row>
    <row r="71" customFormat="false" ht="13.8" hidden="false" customHeight="false" outlineLevel="0" collapsed="false">
      <c r="D71" s="113"/>
      <c r="E71" s="113"/>
      <c r="F71" s="113"/>
      <c r="G71" s="113"/>
      <c r="H71" s="113"/>
      <c r="I71" s="113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4">
    <mergeCell ref="B2:J2"/>
    <mergeCell ref="B3:J3"/>
    <mergeCell ref="B4:C4"/>
    <mergeCell ref="B5:C5"/>
    <mergeCell ref="D5:J5"/>
    <mergeCell ref="B6:C6"/>
    <mergeCell ref="D6:J6"/>
    <mergeCell ref="B7:C7"/>
    <mergeCell ref="D7:J7"/>
    <mergeCell ref="B8:E8"/>
    <mergeCell ref="B9:C9"/>
    <mergeCell ref="D9:J9"/>
    <mergeCell ref="B10:C10"/>
    <mergeCell ref="B11:C11"/>
    <mergeCell ref="B12:C12"/>
    <mergeCell ref="D12:J12"/>
    <mergeCell ref="G18:I18"/>
    <mergeCell ref="B29:C29"/>
    <mergeCell ref="B34:C34"/>
    <mergeCell ref="B35:C35"/>
    <mergeCell ref="G35:H35"/>
    <mergeCell ref="B36:F36"/>
    <mergeCell ref="B37:C37"/>
    <mergeCell ref="B38:C38"/>
    <mergeCell ref="G38:H38"/>
    <mergeCell ref="B39:C39"/>
    <mergeCell ref="G39:H39"/>
    <mergeCell ref="B40:F40"/>
    <mergeCell ref="B41:C41"/>
    <mergeCell ref="B42:C42"/>
    <mergeCell ref="B43:C43"/>
    <mergeCell ref="B44:C44"/>
    <mergeCell ref="B45:C45"/>
    <mergeCell ref="B46:C46"/>
    <mergeCell ref="B47:C47"/>
    <mergeCell ref="B48:F48"/>
    <mergeCell ref="B49:F49"/>
    <mergeCell ref="B50:E50"/>
    <mergeCell ref="F50:G50"/>
    <mergeCell ref="B51:C51"/>
    <mergeCell ref="B52:F52"/>
    <mergeCell ref="B53:C53"/>
    <mergeCell ref="B55:C55"/>
    <mergeCell ref="B56:C56"/>
    <mergeCell ref="B58:F58"/>
    <mergeCell ref="B59:C59"/>
    <mergeCell ref="B60:C60"/>
    <mergeCell ref="B61:C61"/>
    <mergeCell ref="B62:C62"/>
    <mergeCell ref="B63:F63"/>
    <mergeCell ref="B64:E64"/>
    <mergeCell ref="F64:G64"/>
    <mergeCell ref="B65:C65"/>
    <mergeCell ref="F67:G6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2026-06-10T22:14:58Z</dcterms:created>
  <dc:creator>HP</dc:creator>
  <dc:description/>
  <dc:language>en-US</dc:language>
  <cp:lastModifiedBy/>
  <dcterms:modified xsi:type="dcterms:W3CDTF">2026-06-24T17:54:22Z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